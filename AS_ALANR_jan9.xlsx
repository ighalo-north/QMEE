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gha\Documents\00 phd yr 1\ALAN\R analysis\"/>
    </mc:Choice>
  </mc:AlternateContent>
  <xr:revisionPtr revIDLastSave="0" documentId="13_ncr:1_{F3AFE288-882F-47B0-AC07-24BAD289592B}" xr6:coauthVersionLast="47" xr6:coauthVersionMax="47" xr10:uidLastSave="{00000000-0000-0000-0000-000000000000}"/>
  <bookViews>
    <workbookView xWindow="-38510" yWindow="-9660" windowWidth="38620" windowHeight="21100" xr2:uid="{2DC7AF96-ECDD-411C-B45C-0D9BF190AC18}"/>
  </bookViews>
  <sheets>
    <sheet name="Data" sheetId="3" r:id="rId1"/>
    <sheet name="OG_Data" sheetId="5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22" i="3" l="1"/>
  <c r="AE421" i="3"/>
  <c r="AE420" i="3"/>
  <c r="AE419" i="3"/>
  <c r="AE418" i="3"/>
  <c r="AE417" i="3"/>
  <c r="AE416" i="3"/>
  <c r="AE415" i="3"/>
  <c r="AE414" i="3"/>
  <c r="AE413" i="3"/>
  <c r="AE412" i="3"/>
  <c r="AE411" i="3"/>
  <c r="AE410" i="3"/>
  <c r="AE409" i="3"/>
  <c r="AE408" i="3"/>
  <c r="AE407" i="3"/>
  <c r="AE376" i="3"/>
  <c r="AE375" i="3"/>
  <c r="AE374" i="3"/>
  <c r="AE373" i="3"/>
  <c r="AE372" i="3"/>
  <c r="AE371" i="3"/>
  <c r="AE370" i="3"/>
  <c r="AE369" i="3"/>
  <c r="AE368" i="3"/>
  <c r="AE367" i="3"/>
  <c r="AE363" i="3"/>
  <c r="AE362" i="3"/>
  <c r="AE361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4" i="3"/>
  <c r="AE365" i="3"/>
  <c r="AE366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60" i="3"/>
  <c r="U2" i="5" l="1"/>
  <c r="V2" i="5"/>
  <c r="U3" i="5"/>
  <c r="V3" i="5"/>
  <c r="U4" i="5"/>
  <c r="V4" i="5"/>
  <c r="U5" i="5"/>
  <c r="V5" i="5"/>
  <c r="U8" i="5"/>
  <c r="V8" i="5"/>
  <c r="U9" i="5"/>
  <c r="V9" i="5"/>
  <c r="U10" i="5"/>
  <c r="V10" i="5"/>
  <c r="U11" i="5"/>
  <c r="V11" i="5"/>
  <c r="U14" i="5"/>
  <c r="V14" i="5"/>
  <c r="U15" i="5"/>
  <c r="V15" i="5"/>
  <c r="U16" i="5"/>
  <c r="V16" i="5"/>
  <c r="U17" i="5"/>
  <c r="V17" i="5"/>
  <c r="U20" i="5"/>
  <c r="V20" i="5"/>
  <c r="U21" i="5"/>
  <c r="V21" i="5"/>
  <c r="U22" i="5"/>
  <c r="V22" i="5"/>
  <c r="U23" i="5"/>
  <c r="V23" i="5"/>
  <c r="U26" i="5"/>
  <c r="V26" i="5"/>
  <c r="U27" i="5"/>
  <c r="V27" i="5"/>
  <c r="U31" i="5"/>
  <c r="V31" i="5"/>
  <c r="U32" i="5"/>
  <c r="V32" i="5"/>
  <c r="U36" i="5"/>
  <c r="V36" i="5"/>
  <c r="U37" i="5"/>
  <c r="V37" i="5"/>
  <c r="U41" i="5"/>
  <c r="V41" i="5"/>
  <c r="U42" i="5"/>
  <c r="V42" i="5"/>
  <c r="U45" i="5"/>
  <c r="V45" i="5"/>
  <c r="U46" i="5"/>
  <c r="V46" i="5"/>
  <c r="U51" i="5"/>
  <c r="V51" i="5"/>
  <c r="U52" i="5"/>
  <c r="V52" i="5"/>
  <c r="U53" i="5"/>
  <c r="V53" i="5"/>
  <c r="U54" i="5"/>
  <c r="V54" i="5"/>
  <c r="U57" i="5"/>
  <c r="V57" i="5"/>
  <c r="U58" i="5"/>
  <c r="V58" i="5"/>
  <c r="U59" i="5"/>
  <c r="V59" i="5"/>
  <c r="U60" i="5"/>
  <c r="V60" i="5"/>
  <c r="U62" i="5"/>
  <c r="V62" i="5"/>
  <c r="U63" i="5"/>
  <c r="V63" i="5"/>
  <c r="U64" i="5"/>
  <c r="V64" i="5"/>
  <c r="U65" i="5"/>
  <c r="V65" i="5"/>
  <c r="U68" i="5"/>
  <c r="V68" i="5"/>
  <c r="U69" i="5"/>
  <c r="V69" i="5"/>
  <c r="U70" i="5"/>
  <c r="V70" i="5"/>
  <c r="U71" i="5"/>
  <c r="V71" i="5"/>
  <c r="U75" i="5"/>
  <c r="V75" i="5"/>
  <c r="U76" i="5"/>
  <c r="V76" i="5"/>
  <c r="U77" i="5"/>
  <c r="V77" i="5"/>
  <c r="U78" i="5"/>
  <c r="V78" i="5"/>
  <c r="U81" i="5"/>
  <c r="V81" i="5"/>
  <c r="U82" i="5"/>
  <c r="V82" i="5"/>
  <c r="U83" i="5"/>
  <c r="V83" i="5"/>
  <c r="U84" i="5"/>
  <c r="V84" i="5"/>
  <c r="U86" i="5"/>
  <c r="V86" i="5"/>
  <c r="U87" i="5"/>
  <c r="V87" i="5"/>
  <c r="U88" i="5"/>
  <c r="V88" i="5"/>
  <c r="U89" i="5"/>
  <c r="V89" i="5"/>
  <c r="U92" i="5"/>
  <c r="V92" i="5"/>
  <c r="U93" i="5"/>
  <c r="V93" i="5"/>
  <c r="U94" i="5"/>
  <c r="V94" i="5"/>
  <c r="U95" i="5"/>
  <c r="V95" i="5"/>
  <c r="U99" i="5"/>
  <c r="V99" i="5"/>
  <c r="U100" i="5"/>
  <c r="V100" i="5"/>
  <c r="U101" i="5"/>
  <c r="V101" i="5"/>
  <c r="U102" i="5"/>
  <c r="V102" i="5"/>
  <c r="U105" i="5"/>
  <c r="V105" i="5"/>
  <c r="U106" i="5"/>
  <c r="V106" i="5"/>
  <c r="U107" i="5"/>
  <c r="V107" i="5"/>
  <c r="U108" i="5"/>
  <c r="V108" i="5"/>
  <c r="U110" i="5"/>
  <c r="V110" i="5"/>
  <c r="U111" i="5"/>
  <c r="V111" i="5"/>
  <c r="U112" i="5"/>
  <c r="V112" i="5"/>
  <c r="U113" i="5"/>
  <c r="V113" i="5"/>
  <c r="U116" i="5"/>
  <c r="V116" i="5"/>
  <c r="U117" i="5"/>
  <c r="V117" i="5"/>
  <c r="U118" i="5"/>
  <c r="V118" i="5"/>
  <c r="U119" i="5"/>
  <c r="V119" i="5"/>
  <c r="U123" i="5"/>
  <c r="V123" i="5"/>
  <c r="U124" i="5"/>
  <c r="V124" i="5"/>
  <c r="U125" i="5"/>
  <c r="V125" i="5"/>
  <c r="U126" i="5"/>
  <c r="V126" i="5"/>
  <c r="U129" i="5"/>
  <c r="V129" i="5"/>
  <c r="U130" i="5"/>
  <c r="V130" i="5"/>
  <c r="U131" i="5"/>
  <c r="V131" i="5"/>
  <c r="U132" i="5"/>
  <c r="V132" i="5"/>
  <c r="U134" i="5"/>
  <c r="V134" i="5"/>
  <c r="U135" i="5"/>
  <c r="V135" i="5"/>
  <c r="U136" i="5"/>
  <c r="V136" i="5"/>
  <c r="U137" i="5"/>
  <c r="V137" i="5"/>
  <c r="U140" i="5"/>
  <c r="V140" i="5"/>
  <c r="U141" i="5"/>
  <c r="V141" i="5"/>
  <c r="U142" i="5"/>
  <c r="V142" i="5"/>
  <c r="U143" i="5"/>
  <c r="V143" i="5"/>
  <c r="U146" i="5"/>
  <c r="V146" i="5"/>
  <c r="U147" i="5"/>
  <c r="V147" i="5"/>
  <c r="U150" i="5"/>
  <c r="V150" i="5"/>
  <c r="U151" i="5"/>
  <c r="V151" i="5"/>
  <c r="U154" i="5"/>
  <c r="V154" i="5"/>
  <c r="U155" i="5"/>
  <c r="V155" i="5"/>
  <c r="U158" i="5"/>
  <c r="V158" i="5"/>
  <c r="U159" i="5"/>
  <c r="V159" i="5"/>
  <c r="U163" i="5"/>
  <c r="V163" i="5"/>
  <c r="U164" i="5"/>
  <c r="V164" i="5"/>
  <c r="U165" i="5"/>
  <c r="V165" i="5"/>
  <c r="U166" i="5"/>
  <c r="V166" i="5"/>
  <c r="U169" i="5"/>
  <c r="V169" i="5"/>
  <c r="U170" i="5"/>
  <c r="V170" i="5"/>
  <c r="U171" i="5"/>
  <c r="V171" i="5"/>
  <c r="U172" i="5"/>
  <c r="V172" i="5"/>
  <c r="U174" i="5"/>
  <c r="V174" i="5"/>
  <c r="U175" i="5"/>
  <c r="V175" i="5"/>
  <c r="U176" i="5"/>
  <c r="V176" i="5"/>
  <c r="U177" i="5"/>
  <c r="V177" i="5"/>
  <c r="U180" i="5"/>
  <c r="V180" i="5"/>
  <c r="U181" i="5"/>
  <c r="V181" i="5"/>
  <c r="U182" i="5"/>
  <c r="V182" i="5"/>
  <c r="U183" i="5"/>
  <c r="V183" i="5"/>
  <c r="U187" i="5"/>
  <c r="V187" i="5"/>
  <c r="U188" i="5"/>
  <c r="V188" i="5"/>
  <c r="U189" i="5"/>
  <c r="V189" i="5"/>
  <c r="U190" i="5"/>
  <c r="V190" i="5"/>
  <c r="U193" i="5"/>
  <c r="V193" i="5"/>
  <c r="U194" i="5"/>
  <c r="V194" i="5"/>
  <c r="U195" i="5"/>
  <c r="V195" i="5"/>
  <c r="U196" i="5"/>
  <c r="V196" i="5"/>
  <c r="U198" i="5"/>
  <c r="V198" i="5"/>
  <c r="U199" i="5"/>
  <c r="V199" i="5"/>
  <c r="U200" i="5"/>
  <c r="V200" i="5"/>
  <c r="U201" i="5"/>
  <c r="V201" i="5"/>
  <c r="U204" i="5"/>
  <c r="V204" i="5"/>
  <c r="U205" i="5"/>
  <c r="V205" i="5"/>
  <c r="U206" i="5"/>
  <c r="V206" i="5"/>
  <c r="U207" i="5"/>
  <c r="V207" i="5"/>
  <c r="U211" i="5"/>
  <c r="V211" i="5"/>
  <c r="U212" i="5"/>
  <c r="V212" i="5"/>
  <c r="U213" i="5"/>
  <c r="V213" i="5"/>
  <c r="U214" i="5"/>
  <c r="V214" i="5"/>
  <c r="U217" i="5"/>
  <c r="V217" i="5"/>
  <c r="U218" i="5"/>
  <c r="V218" i="5"/>
  <c r="U219" i="5"/>
  <c r="V219" i="5"/>
  <c r="U220" i="5"/>
  <c r="V220" i="5"/>
  <c r="U222" i="5"/>
  <c r="V222" i="5"/>
  <c r="U223" i="5"/>
  <c r="V223" i="5"/>
  <c r="U224" i="5"/>
  <c r="V224" i="5"/>
  <c r="U225" i="5"/>
  <c r="V225" i="5"/>
  <c r="U228" i="5"/>
  <c r="V228" i="5"/>
  <c r="U229" i="5"/>
  <c r="V229" i="5"/>
  <c r="U230" i="5"/>
  <c r="V230" i="5"/>
  <c r="U231" i="5"/>
  <c r="V231" i="5"/>
  <c r="U235" i="5"/>
  <c r="V235" i="5"/>
  <c r="U236" i="5"/>
  <c r="V236" i="5"/>
  <c r="U237" i="5"/>
  <c r="V237" i="5"/>
  <c r="U238" i="5"/>
  <c r="V238" i="5"/>
  <c r="U241" i="5"/>
  <c r="V241" i="5"/>
  <c r="U242" i="5"/>
  <c r="V242" i="5"/>
  <c r="U243" i="5"/>
  <c r="V243" i="5"/>
  <c r="U244" i="5"/>
  <c r="V244" i="5"/>
  <c r="U246" i="5"/>
  <c r="V246" i="5"/>
  <c r="U247" i="5"/>
  <c r="V247" i="5"/>
  <c r="U248" i="5"/>
  <c r="V248" i="5"/>
  <c r="U249" i="5"/>
  <c r="V249" i="5"/>
  <c r="U252" i="5"/>
  <c r="V252" i="5"/>
  <c r="U253" i="5"/>
  <c r="V253" i="5"/>
  <c r="U254" i="5"/>
  <c r="V254" i="5"/>
  <c r="U255" i="5"/>
  <c r="V255" i="5"/>
  <c r="U259" i="5"/>
  <c r="V259" i="5"/>
  <c r="U260" i="5"/>
  <c r="V260" i="5"/>
  <c r="U261" i="5"/>
  <c r="V261" i="5"/>
  <c r="U262" i="5"/>
  <c r="V262" i="5"/>
  <c r="U265" i="5"/>
  <c r="V265" i="5"/>
  <c r="U266" i="5"/>
  <c r="V266" i="5"/>
  <c r="U267" i="5"/>
  <c r="V267" i="5"/>
  <c r="U268" i="5"/>
  <c r="V268" i="5"/>
  <c r="U270" i="5"/>
  <c r="V270" i="5"/>
  <c r="U271" i="5"/>
  <c r="V271" i="5"/>
  <c r="U272" i="5"/>
  <c r="V272" i="5"/>
  <c r="U273" i="5"/>
  <c r="V273" i="5"/>
  <c r="U276" i="5"/>
  <c r="V276" i="5"/>
  <c r="U277" i="5"/>
  <c r="V277" i="5"/>
  <c r="U278" i="5"/>
  <c r="V278" i="5"/>
  <c r="U279" i="5"/>
  <c r="V279" i="5"/>
  <c r="U282" i="5"/>
  <c r="V282" i="5"/>
  <c r="U283" i="5"/>
  <c r="V283" i="5"/>
  <c r="U286" i="5"/>
  <c r="V286" i="5"/>
  <c r="U287" i="5"/>
  <c r="V287" i="5"/>
  <c r="U290" i="5"/>
  <c r="V290" i="5"/>
  <c r="U291" i="5"/>
  <c r="V291" i="5"/>
  <c r="U294" i="5"/>
  <c r="V294" i="5"/>
  <c r="U295" i="5"/>
  <c r="V295" i="5"/>
  <c r="U299" i="5"/>
  <c r="V299" i="5"/>
  <c r="U300" i="5"/>
  <c r="V300" i="5"/>
  <c r="U301" i="5"/>
  <c r="V301" i="5"/>
  <c r="U302" i="5"/>
  <c r="V302" i="5"/>
  <c r="U305" i="5"/>
  <c r="V305" i="5"/>
  <c r="U306" i="5"/>
  <c r="V306" i="5"/>
  <c r="U307" i="5"/>
  <c r="V307" i="5"/>
  <c r="U308" i="5"/>
  <c r="V308" i="5"/>
  <c r="U310" i="5"/>
  <c r="V310" i="5"/>
  <c r="U311" i="5"/>
  <c r="V311" i="5"/>
  <c r="U312" i="5"/>
  <c r="V312" i="5"/>
  <c r="U313" i="5"/>
  <c r="V313" i="5"/>
  <c r="U316" i="5"/>
  <c r="V316" i="5"/>
  <c r="U317" i="5"/>
  <c r="V317" i="5"/>
  <c r="U318" i="5"/>
  <c r="V318" i="5"/>
  <c r="U319" i="5"/>
  <c r="V319" i="5"/>
  <c r="U323" i="5"/>
  <c r="V323" i="5"/>
  <c r="U324" i="5"/>
  <c r="V324" i="5"/>
  <c r="U325" i="5"/>
  <c r="V325" i="5"/>
  <c r="U326" i="5"/>
  <c r="V326" i="5"/>
  <c r="U329" i="5"/>
  <c r="V329" i="5"/>
  <c r="U330" i="5"/>
  <c r="V330" i="5"/>
  <c r="U331" i="5"/>
  <c r="V331" i="5"/>
  <c r="U332" i="5"/>
  <c r="V332" i="5"/>
  <c r="U334" i="5"/>
  <c r="V334" i="5"/>
  <c r="U335" i="5"/>
  <c r="V335" i="5"/>
  <c r="U336" i="5"/>
  <c r="V336" i="5"/>
  <c r="U337" i="5"/>
  <c r="V337" i="5"/>
  <c r="U340" i="5"/>
  <c r="V340" i="5"/>
  <c r="U341" i="5"/>
  <c r="V341" i="5"/>
  <c r="U342" i="5"/>
  <c r="V342" i="5"/>
  <c r="U343" i="5"/>
  <c r="V343" i="5"/>
  <c r="U347" i="5"/>
  <c r="V347" i="5"/>
  <c r="U348" i="5"/>
  <c r="V348" i="5"/>
  <c r="U349" i="5"/>
  <c r="V349" i="5"/>
  <c r="U350" i="5"/>
  <c r="V350" i="5"/>
  <c r="U353" i="5"/>
  <c r="V353" i="5"/>
  <c r="U354" i="5"/>
  <c r="V354" i="5"/>
  <c r="U355" i="5"/>
  <c r="V355" i="5"/>
  <c r="U356" i="5"/>
  <c r="V356" i="5"/>
  <c r="U358" i="5"/>
  <c r="V358" i="5"/>
  <c r="U359" i="5"/>
  <c r="V359" i="5"/>
  <c r="U360" i="5"/>
  <c r="V360" i="5"/>
  <c r="U361" i="5"/>
  <c r="V361" i="5"/>
  <c r="U364" i="5"/>
  <c r="V364" i="5"/>
  <c r="U365" i="5"/>
  <c r="V365" i="5"/>
  <c r="U366" i="5"/>
  <c r="V366" i="5"/>
  <c r="U367" i="5"/>
  <c r="V367" i="5"/>
  <c r="U371" i="5"/>
  <c r="V371" i="5"/>
  <c r="U372" i="5"/>
  <c r="V372" i="5"/>
  <c r="U373" i="5"/>
  <c r="V373" i="5"/>
  <c r="U374" i="5"/>
  <c r="V374" i="5"/>
  <c r="U377" i="5"/>
  <c r="V377" i="5"/>
  <c r="U378" i="5"/>
  <c r="V378" i="5"/>
  <c r="U379" i="5"/>
  <c r="V379" i="5"/>
  <c r="U380" i="5"/>
  <c r="V380" i="5"/>
  <c r="U382" i="5"/>
  <c r="V382" i="5"/>
  <c r="U383" i="5"/>
  <c r="V383" i="5"/>
  <c r="U384" i="5"/>
  <c r="V384" i="5"/>
  <c r="U385" i="5"/>
  <c r="V385" i="5"/>
  <c r="U388" i="5"/>
  <c r="V388" i="5"/>
  <c r="U389" i="5"/>
  <c r="V389" i="5"/>
  <c r="U390" i="5"/>
  <c r="V390" i="5"/>
  <c r="U391" i="5"/>
  <c r="V391" i="5"/>
  <c r="U395" i="5"/>
  <c r="V395" i="5"/>
  <c r="U396" i="5"/>
  <c r="V396" i="5"/>
  <c r="U397" i="5"/>
  <c r="V397" i="5"/>
  <c r="U398" i="5"/>
  <c r="V398" i="5"/>
  <c r="U401" i="5"/>
  <c r="V401" i="5"/>
  <c r="U402" i="5"/>
  <c r="V402" i="5"/>
  <c r="U403" i="5"/>
  <c r="V403" i="5"/>
  <c r="U404" i="5"/>
  <c r="V404" i="5"/>
  <c r="U406" i="5"/>
  <c r="V406" i="5"/>
  <c r="U407" i="5"/>
  <c r="V407" i="5"/>
  <c r="U408" i="5"/>
  <c r="V408" i="5"/>
  <c r="U409" i="5"/>
  <c r="V409" i="5"/>
  <c r="U412" i="5"/>
  <c r="V412" i="5"/>
  <c r="U413" i="5"/>
  <c r="V413" i="5"/>
  <c r="U414" i="5"/>
  <c r="V414" i="5"/>
  <c r="U415" i="5"/>
  <c r="V415" i="5"/>
  <c r="U419" i="5"/>
  <c r="V419" i="5"/>
  <c r="U420" i="5"/>
  <c r="V420" i="5"/>
  <c r="U421" i="5"/>
  <c r="V421" i="5"/>
  <c r="U422" i="5"/>
  <c r="V422" i="5"/>
  <c r="U425" i="5"/>
  <c r="V425" i="5"/>
  <c r="U426" i="5"/>
  <c r="V426" i="5"/>
  <c r="U427" i="5"/>
  <c r="V427" i="5"/>
  <c r="U428" i="5"/>
  <c r="V428" i="5"/>
  <c r="U430" i="5"/>
  <c r="V430" i="5"/>
  <c r="U431" i="5"/>
  <c r="V431" i="5"/>
  <c r="U432" i="5"/>
  <c r="V432" i="5"/>
  <c r="U433" i="5"/>
  <c r="V433" i="5"/>
  <c r="U436" i="5"/>
  <c r="V436" i="5"/>
  <c r="U437" i="5"/>
  <c r="V437" i="5"/>
  <c r="U438" i="5"/>
  <c r="V438" i="5"/>
  <c r="U439" i="5"/>
  <c r="V43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 Ighalo</author>
  </authors>
  <commentList>
    <comment ref="F18" authorId="0" shapeId="0" xr:uid="{0E1B0608-93CF-4645-9513-C8C985BF50D9}">
      <text>
        <r>
          <rPr>
            <b/>
            <sz val="9"/>
            <color indexed="81"/>
            <rFont val="Tahoma"/>
            <charset val="1"/>
          </rPr>
          <t>Ren Ighalo:</t>
        </r>
        <r>
          <rPr>
            <sz val="9"/>
            <color indexed="81"/>
            <rFont val="Tahoma"/>
            <charset val="1"/>
          </rPr>
          <t xml:space="preserve">
S1+S2 A+B</t>
        </r>
      </text>
    </comment>
    <comment ref="A401" authorId="0" shapeId="0" xr:uid="{C4761BA6-1D4D-4078-AC35-125B1FB35873}">
      <text>
        <r>
          <rPr>
            <b/>
            <sz val="9"/>
            <color indexed="81"/>
            <rFont val="Tahoma"/>
            <charset val="1"/>
          </rPr>
          <t>Ren Ighalo:</t>
        </r>
        <r>
          <rPr>
            <sz val="9"/>
            <color indexed="81"/>
            <rFont val="Tahoma"/>
            <charset val="1"/>
          </rPr>
          <t xml:space="preserve">
mold in many male vials, males were fine</t>
        </r>
      </text>
    </comment>
  </commentList>
</comments>
</file>

<file path=xl/sharedStrings.xml><?xml version="1.0" encoding="utf-8"?>
<sst xmlns="http://schemas.openxmlformats.org/spreadsheetml/2006/main" count="2711" uniqueCount="121">
  <si>
    <t>F</t>
  </si>
  <si>
    <t>C</t>
  </si>
  <si>
    <t>M</t>
  </si>
  <si>
    <t>S</t>
  </si>
  <si>
    <t>Totals</t>
  </si>
  <si>
    <t>Light Score</t>
  </si>
  <si>
    <t>Sex</t>
  </si>
  <si>
    <t>Lineage</t>
  </si>
  <si>
    <t>Treatment</t>
  </si>
  <si>
    <t>Generation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</si>
  <si>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</si>
  <si>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</si>
  <si>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</si>
  <si>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</si>
  <si>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</si>
  <si>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</si>
  <si>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</si>
  <si>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</si>
  <si>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</si>
  <si>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</si>
  <si>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</si>
  <si>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</si>
  <si>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</si>
  <si>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</si>
  <si>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</si>
  <si>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</si>
  <si>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maze D</t>
  </si>
  <si>
    <t>maze C</t>
  </si>
  <si>
    <t>maze B</t>
  </si>
  <si>
    <t>maze A</t>
  </si>
  <si>
    <t>day 5 session 2</t>
  </si>
  <si>
    <t>day 5 session 1</t>
  </si>
  <si>
    <t>day 4 session 2</t>
  </si>
  <si>
    <t>day 4 session 1</t>
  </si>
  <si>
    <t>Term Vials</t>
  </si>
  <si>
    <t>Gen 16</t>
  </si>
  <si>
    <t>Gen 15</t>
  </si>
  <si>
    <t>Gen 14</t>
  </si>
  <si>
    <t>Gen 13</t>
  </si>
  <si>
    <t>Gen 12</t>
  </si>
  <si>
    <t>Gen 11</t>
  </si>
  <si>
    <t>C1</t>
  </si>
  <si>
    <t>C2</t>
  </si>
  <si>
    <t>day 5 session 4</t>
  </si>
  <si>
    <t>C3</t>
  </si>
  <si>
    <t>C4</t>
  </si>
  <si>
    <t>day 5 session 3</t>
  </si>
  <si>
    <t>Gen 10</t>
  </si>
  <si>
    <t>Gen 9</t>
  </si>
  <si>
    <t>Gen 8</t>
  </si>
  <si>
    <t>Gen 7</t>
  </si>
  <si>
    <t>Gen 6</t>
  </si>
  <si>
    <t>S3</t>
  </si>
  <si>
    <t>S4</t>
  </si>
  <si>
    <t>S1</t>
  </si>
  <si>
    <t>S2</t>
  </si>
  <si>
    <t>Gen 5</t>
  </si>
  <si>
    <t>12:50pm</t>
  </si>
  <si>
    <t>9:57am</t>
  </si>
  <si>
    <t>2:15pm</t>
  </si>
  <si>
    <t>10:40am</t>
  </si>
  <si>
    <t>Gen 4</t>
  </si>
  <si>
    <t>12:33pm</t>
  </si>
  <si>
    <t>9am</t>
  </si>
  <si>
    <t>11:40am</t>
  </si>
  <si>
    <t>9:05am</t>
  </si>
  <si>
    <t>Gen 3</t>
  </si>
  <si>
    <t>1:04pm</t>
  </si>
  <si>
    <t>10:20am</t>
  </si>
  <si>
    <t xml:space="preserve"> </t>
  </si>
  <si>
    <t>11:07am</t>
  </si>
  <si>
    <t>Gen 2</t>
  </si>
  <si>
    <t>flies collected for C4</t>
  </si>
  <si>
    <t>4:18pm-7pm</t>
  </si>
  <si>
    <t>day 6 session 4</t>
  </si>
  <si>
    <t>flies collected for C3</t>
  </si>
  <si>
    <t>2:04pm-4pm</t>
  </si>
  <si>
    <t>day 6 session 3</t>
  </si>
  <si>
    <t>flies collected for C2</t>
  </si>
  <si>
    <t>11:42am-1:40pm</t>
  </si>
  <si>
    <t>day 6 session 2</t>
  </si>
  <si>
    <t>flies collected for C1</t>
  </si>
  <si>
    <t>10am-11:17am</t>
  </si>
  <si>
    <t>day 6 session 1</t>
  </si>
  <si>
    <t>flies collected for S2</t>
  </si>
  <si>
    <t>flies collected for S1</t>
  </si>
  <si>
    <t>6:42pm-9pm</t>
  </si>
  <si>
    <t>flies collected for S4</t>
  </si>
  <si>
    <t>maze B2</t>
  </si>
  <si>
    <t>3:50pm-6:15pm</t>
  </si>
  <si>
    <t>maze A2</t>
  </si>
  <si>
    <t>1:36pm-3:25pm</t>
  </si>
  <si>
    <t>flies collected for S3</t>
  </si>
  <si>
    <t>11:15am-12:45pm</t>
  </si>
  <si>
    <t>9:11am - 10:30am</t>
  </si>
  <si>
    <t>End: 6:18</t>
  </si>
  <si>
    <t>after 2.5hrs many flies are still at start</t>
  </si>
  <si>
    <t>Start: 3:25pm</t>
  </si>
  <si>
    <t>End: 12:30pm</t>
  </si>
  <si>
    <t>Start: 10:11am</t>
  </si>
  <si>
    <t>Term Vials (1: avoid)</t>
  </si>
  <si>
    <t>Gen 1</t>
  </si>
  <si>
    <t>Lightscore</t>
  </si>
  <si>
    <t>day</t>
  </si>
  <si>
    <t>ABCD</t>
  </si>
  <si>
    <t>DBCA</t>
  </si>
  <si>
    <t>CDAB</t>
  </si>
  <si>
    <t>start_time_num</t>
  </si>
  <si>
    <t>end_time_num</t>
  </si>
  <si>
    <t>time_elapsed_num</t>
  </si>
  <si>
    <t>prop_out</t>
  </si>
  <si>
    <t>Maze</t>
  </si>
  <si>
    <t>A</t>
  </si>
  <si>
    <t>B</t>
  </si>
  <si>
    <t>D</t>
  </si>
  <si>
    <t>Maze_Order</t>
  </si>
  <si>
    <t>time_of_day</t>
  </si>
  <si>
    <t>morn</t>
  </si>
  <si>
    <t>aft</t>
  </si>
  <si>
    <t>flies_in</t>
  </si>
  <si>
    <t>flies_out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</si>
</sst>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20" fontId="0" fillId="0" borderId="0" xfId="0" applyNumberFormat="1"/>
    <xf numFmtId="0" fontId="0" fillId="0" borderId="2" xfId="0" applyBorder="1"/>
    <xf numFmtId="0" fontId="0" fillId="2" borderId="0" xfId="0" applyFill="1"/>
    <xf numFmtId="20" fontId="0" fillId="2" borderId="0" xfId="0" applyNumberFormat="1" applyFill="1"/>
    <xf numFmtId="0" fontId="1" fillId="0" borderId="0" xfId="0" applyFont="1"/>
    <xf numFmtId="0" fontId="0" fillId="0" borderId="3" xfId="0" applyBorder="1"/>
    <xf numFmtId="0" fontId="1" fillId="0" borderId="3" xfId="0" applyFont="1" applyBorder="1"/>
    <xf numFmtId="0" fontId="0" fillId="0" borderId="1" xfId="0" applyBorder="1"/>
    <xf numFmtId="0" fontId="1" fillId="0" borderId="5" xfId="0" applyFont="1" applyBorder="1"/>
    <xf numFmtId="0" fontId="0" fillId="0" borderId="4" xfId="0" applyBorder="1"/>
    <xf numFmtId="0" fontId="0" fillId="2" borderId="4" xfId="0" applyFill="1" applyBorder="1"/>
    <xf numFmtId="0" fontId="1" fillId="0" borderId="7" xfId="0" applyFont="1" applyBorder="1"/>
    <xf numFmtId="0" fontId="0" fillId="2" borderId="6" xfId="0" applyFill="1" applyBorder="1"/>
    <xf numFmtId="0" fontId="0" fillId="0" borderId="6" xfId="0" applyBorder="1"/>
    <xf numFmtId="0" fontId="0" fillId="3" borderId="0" xfId="0" applyFill="1"/>
    <xf numFmtId="20" fontId="0" fillId="3" borderId="0" xfId="0" applyNumberFormat="1" applyFill="1"/>
    <xf numFmtId="0" fontId="0" fillId="3" borderId="4" xfId="0" applyFill="1" applyBorder="1"/>
    <xf numFmtId="0" fontId="0" fillId="3" borderId="6" xfId="0" applyFill="1" applyBorder="1"/>
    <xf numFmtId="0" fontId="0" fillId="4" borderId="0" xfId="0" applyFill="1"/>
    <xf numFmtId="0" fontId="0" fillId="4" borderId="4" xfId="0" applyFill="1" applyBorder="1"/>
    <xf numFmtId="0" fontId="0" fillId="4" borderId="6" xfId="0" applyFill="1" applyBorder="1"/>
    <xf numFmtId="20" fontId="0" fillId="4" borderId="0" xfId="0" applyNumberFormat="1" applyFill="1"/>
    <xf numFmtId="2" fontId="0" fillId="2" borderId="0" xfId="0" applyNumberFormat="1" applyFill="1"/>
    <xf numFmtId="2" fontId="0" fillId="0" borderId="0" xfId="0" applyNumberFormat="1"/>
    <xf numFmtId="2" fontId="0" fillId="3" borderId="0" xfId="0" applyNumberFormat="1" applyFill="1"/>
    <xf numFmtId="2" fontId="0" fillId="4" borderId="0" xfId="0" applyNumberFormat="1" applyFill="1"/>
    <xf numFmtId="2" fontId="1" fillId="0" borderId="1" xfId="0" applyNumberFormat="1" applyFont="1" applyBorder="1"/>
  </cellXfs>
  <cellStyles count="1">
    <cellStyle name="Normal" xfId="0" builtinId="0"/>
  </cellStyles>
  <dxfs count="59"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25" formatCode="h:mm"/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3BF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igha\Documents\00%20phd%20yr%201\ALAN\AS%20ALAN%20data.xlsx" TargetMode="External"/><Relationship Id="rId1" Type="http://schemas.openxmlformats.org/officeDocument/2006/relationships/externalLinkPath" Target="/Users/kigha/Documents/00%20phd%20yr%201/ALAN/AS%20ALAN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OG_Data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BB2527-CD28-474B-AA9C-0FC4E6A72110}" name="Table3" displayName="Table3" ref="A1:AE1048576" totalsRowShown="0" headerRowDxfId="58" headerRowBorderDxfId="57">
  <autoFilter ref="A1:AE1048576" xr:uid="{0DBB2527-CD28-474B-AA9C-0FC4E6A72110}"/>
  <tableColumns count="31">
    <tableColumn id="1" xr3:uid="{099FC34C-5CC9-4331-9A69-6E1C63D2971A}" name="Generation" dataDxfId="56"/>
    <tableColumn id="3" xr3:uid="{DDA3ED6B-3DEA-41E8-8CE5-51E15C4386A8}" name="time_of_day" dataDxfId="55"/>
    <tableColumn id="33" xr3:uid="{A366BCBA-CF60-426F-9635-050B5A4C361A}" name="day"/>
    <tableColumn id="35" xr3:uid="{97FA77EF-6E6D-47C4-8E07-593C5E9AFE07}" name="Maze_Order" dataDxfId="54"/>
    <tableColumn id="6" xr3:uid="{E5D29F4F-086B-45E1-B08D-1815517F95A1}" name="Treatment"/>
    <tableColumn id="7" xr3:uid="{AEE433C2-C43F-4525-876A-B8B96E843E9F}" name="Lineage"/>
    <tableColumn id="8" xr3:uid="{DA3B5D58-85E8-4E64-8459-BF325ACA203F}" name="Maze"/>
    <tableColumn id="9" xr3:uid="{0904D92B-4D14-4E62-A875-768DD46BD582}" name="Sex" dataDxfId="53"/>
    <tableColumn id="10" xr3:uid="{BD92F2E4-E13B-4510-B731-B6FD1FDC7A5F}" name="1"/>
    <tableColumn id="11" xr3:uid="{DB9A5C6E-0E1E-4F65-951A-AA7D208A8DD3}" name="2"/>
    <tableColumn id="12" xr3:uid="{D9419372-23FD-40D0-A38C-133A3FADEE6E}" name="3"/>
    <tableColumn id="13" xr3:uid="{A24E2361-FC05-4655-B8D6-C1569F95474D}" name="4"/>
    <tableColumn id="14" xr3:uid="{B033F37A-2CF2-447C-A49F-CF9473FD28AC}" name="5"/>
    <tableColumn id="15" xr3:uid="{3767B5EE-ABF1-4918-9C5D-A7A0F9ED873B}" name="6"/>
    <tableColumn id="16" xr3:uid="{D969AA94-9E08-46AA-8712-090329EE58B4}" name="7"/>
    <tableColumn id="17" xr3:uid="{05317AD3-1B09-482A-9EEA-6F07BB535A8C}" name="8"/>
    <tableColumn id="18" xr3:uid="{B4313286-6F67-4BBC-AAD2-7A5783AAA809}" name="9"/>
    <tableColumn id="19" xr3:uid="{16AB2B5B-9AB9-456B-A4B7-552DF25A5FC7}" name="10"/>
    <tableColumn id="20" xr3:uid="{B3DA80B6-DB90-4B7C-A5C0-DC7B495C91A5}" name="11"/>
    <tableColumn id="21" xr3:uid="{263A20E3-3B80-4DAA-99E4-B24E6A4E91FA}" name="12"/>
    <tableColumn id="22" xr3:uid="{447FC2BD-B163-4168-BACC-B7B115724D0E}" name="13"/>
    <tableColumn id="23" xr3:uid="{97D27DC9-7AB5-4B6D-8558-FC3BFBBB8231}" name="14"/>
    <tableColumn id="24" xr3:uid="{6616F527-3F5C-40CF-8923-2219E382584C}" name="15"/>
    <tableColumn id="25" xr3:uid="{2BC80148-3572-4A4C-AC52-135DB0F7394D}" name="16"/>
    <tableColumn id="27" xr3:uid="{442F6012-0D86-4FC4-9A1E-49DE98FEF443}" name="Lightscore" dataDxfId="52"/>
    <tableColumn id="4" xr3:uid="{6927DB84-0BDF-4F9F-AAB9-0B37453A1D00}" name="flies_in"/>
    <tableColumn id="28" xr3:uid="{303AE2FC-23EF-4370-A31C-27CECA45BD1A}" name="flies_out"/>
    <tableColumn id="34" xr3:uid="{7146E21B-45E9-4371-9D73-5D4BD3CA0E21}" name="start_time_num" dataDxfId="51"/>
    <tableColumn id="36" xr3:uid="{D9C4A441-A3E5-44CF-8A1E-792594ABFBC2}" name="end_time_num" dataDxfId="50"/>
    <tableColumn id="38" xr3:uid="{8F23F2D5-364E-42CE-8C54-AC3891803054}" name="time_elapsed_num" dataDxfId="49"/>
    <tableColumn id="2" xr3:uid="{2821C5DF-A5D5-4114-8D7D-1D8FA0CD0219}" name="prop_out" dataDxfId="48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EA7A-0497-4809-827E-DA41A4F3D0D5}">
  <dimension ref="A1:AE456"/>
  <sheetViews>
    <sheetView tabSelected="1" zoomScale="91" workbookViewId="0">
      <pane ySplit="1" topLeftCell="A371" activePane="bottomLeft" state="frozen"/>
      <selection pane="bottomLeft" activeCell="AJ403" sqref="AJ403"/>
    </sheetView>
  </sheetViews>
  <sheetFormatPr defaultRowHeight="14.5" x14ac:dyDescent="0.35"/>
  <cols>
    <col min="1" max="1" width="12.1796875" style="16" customWidth="1"/>
    <col min="2" max="2" width="6.1796875" customWidth="1"/>
    <col min="3" max="3" width="6.1796875" bestFit="1" customWidth="1"/>
    <col min="4" max="4" width="6.54296875" customWidth="1"/>
    <col min="5" max="5" width="3.54296875" customWidth="1"/>
    <col min="6" max="6" width="4" customWidth="1"/>
    <col min="7" max="7" width="7.54296875" customWidth="1"/>
    <col min="8" max="8" width="5.81640625" style="11" customWidth="1"/>
    <col min="25" max="25" width="19.54296875" style="15" customWidth="1"/>
    <col min="26" max="26" width="9.26953125" bestFit="1" customWidth="1"/>
    <col min="27" max="27" width="11.81640625" bestFit="1" customWidth="1"/>
    <col min="28" max="28" width="16.36328125" style="25" bestFit="1" customWidth="1"/>
    <col min="29" max="29" width="15.81640625" bestFit="1" customWidth="1"/>
    <col min="30" max="30" width="19.1796875" bestFit="1" customWidth="1"/>
    <col min="31" max="31" width="10.81640625" style="25" bestFit="1" customWidth="1"/>
  </cols>
  <sheetData>
    <row r="1" spans="1:31" s="1" customFormat="1" ht="15" thickBot="1" x14ac:dyDescent="0.4">
      <c r="A1" s="1" t="s">
        <v>9</v>
      </c>
      <c r="B1" s="1" t="s">
        <v>116</v>
      </c>
      <c r="C1" s="1" t="s">
        <v>103</v>
      </c>
      <c r="D1" s="1" t="s">
        <v>115</v>
      </c>
      <c r="E1" s="1" t="s">
        <v>8</v>
      </c>
      <c r="F1" s="1" t="s">
        <v>7</v>
      </c>
      <c r="G1" s="1" t="s">
        <v>111</v>
      </c>
      <c r="H1" s="10" t="s">
        <v>6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3" t="s">
        <v>102</v>
      </c>
      <c r="Z1" s="1" t="s">
        <v>119</v>
      </c>
      <c r="AA1" s="1" t="s">
        <v>120</v>
      </c>
      <c r="AB1" s="28" t="s">
        <v>107</v>
      </c>
      <c r="AC1" s="28" t="s">
        <v>108</v>
      </c>
      <c r="AD1" s="1" t="s">
        <v>109</v>
      </c>
      <c r="AE1" s="1" t="s">
        <v>110</v>
      </c>
    </row>
    <row r="2" spans="1:31" s="4" customFormat="1" ht="15" thickTop="1" x14ac:dyDescent="0.35">
      <c r="A2" s="4">
        <v>1</v>
      </c>
      <c r="B2" s="4" t="s">
        <v>117</v>
      </c>
      <c r="C2" s="4">
        <v>1</v>
      </c>
      <c r="D2" s="5" t="s">
        <v>104</v>
      </c>
      <c r="E2" s="4" t="s">
        <v>3</v>
      </c>
      <c r="F2" s="4">
        <v>1</v>
      </c>
      <c r="G2" s="4" t="s">
        <v>112</v>
      </c>
      <c r="H2" s="12" t="s">
        <v>0</v>
      </c>
      <c r="I2" s="4">
        <v>1</v>
      </c>
      <c r="J2" s="4">
        <v>0</v>
      </c>
      <c r="K2" s="4">
        <v>0</v>
      </c>
      <c r="L2" s="4">
        <v>0</v>
      </c>
      <c r="M2" s="4">
        <v>2</v>
      </c>
      <c r="N2" s="4">
        <v>2</v>
      </c>
      <c r="O2" s="4">
        <v>2</v>
      </c>
      <c r="P2" s="4">
        <v>10</v>
      </c>
      <c r="Q2" s="4">
        <v>4</v>
      </c>
      <c r="R2" s="4">
        <v>6</v>
      </c>
      <c r="S2" s="4">
        <v>5</v>
      </c>
      <c r="T2" s="4">
        <v>2</v>
      </c>
      <c r="U2" s="4">
        <v>6</v>
      </c>
      <c r="V2" s="4">
        <v>3</v>
      </c>
      <c r="W2" s="4">
        <v>7</v>
      </c>
      <c r="X2" s="4">
        <v>4</v>
      </c>
      <c r="Y2" s="14">
        <v>10.75925925925926</v>
      </c>
      <c r="AA2" s="4">
        <v>54</v>
      </c>
      <c r="AB2" s="24">
        <v>10.183333333333334</v>
      </c>
      <c r="AC2" s="24">
        <v>12.5</v>
      </c>
      <c r="AD2" s="24">
        <v>2.3166666666666664</v>
      </c>
      <c r="AE2" s="24"/>
    </row>
    <row r="3" spans="1:31" s="4" customFormat="1" x14ac:dyDescent="0.35">
      <c r="A3" s="4">
        <v>1</v>
      </c>
      <c r="B3" s="4" t="s">
        <v>117</v>
      </c>
      <c r="C3" s="4">
        <v>1</v>
      </c>
      <c r="D3" s="5" t="s">
        <v>104</v>
      </c>
      <c r="E3" s="4" t="s">
        <v>3</v>
      </c>
      <c r="F3" s="4">
        <v>1</v>
      </c>
      <c r="G3" s="4" t="s">
        <v>113</v>
      </c>
      <c r="H3" s="12" t="s">
        <v>2</v>
      </c>
      <c r="I3" s="4">
        <v>1</v>
      </c>
      <c r="J3" s="4">
        <v>2</v>
      </c>
      <c r="K3" s="4">
        <v>1</v>
      </c>
      <c r="L3" s="4">
        <v>1</v>
      </c>
      <c r="M3" s="4">
        <v>2</v>
      </c>
      <c r="N3" s="4">
        <v>1</v>
      </c>
      <c r="O3" s="4">
        <v>6</v>
      </c>
      <c r="P3" s="4">
        <v>12</v>
      </c>
      <c r="Q3" s="4">
        <v>10</v>
      </c>
      <c r="R3" s="4">
        <v>5</v>
      </c>
      <c r="S3" s="4">
        <v>7</v>
      </c>
      <c r="T3" s="4">
        <v>8</v>
      </c>
      <c r="U3" s="4">
        <v>3</v>
      </c>
      <c r="V3" s="4">
        <v>1</v>
      </c>
      <c r="W3" s="4">
        <v>2</v>
      </c>
      <c r="X3" s="4">
        <v>1</v>
      </c>
      <c r="Y3" s="14">
        <v>9.174603174603174</v>
      </c>
      <c r="AA3" s="4">
        <v>63</v>
      </c>
      <c r="AB3" s="24">
        <v>10.183333333333334</v>
      </c>
      <c r="AC3" s="24">
        <v>12.5</v>
      </c>
      <c r="AD3" s="24">
        <v>2.3166666666666664</v>
      </c>
      <c r="AE3" s="24"/>
    </row>
    <row r="4" spans="1:31" s="4" customFormat="1" x14ac:dyDescent="0.35">
      <c r="A4" s="4">
        <v>1</v>
      </c>
      <c r="B4" s="4" t="s">
        <v>117</v>
      </c>
      <c r="C4" s="4">
        <v>1</v>
      </c>
      <c r="D4" s="5" t="s">
        <v>104</v>
      </c>
      <c r="E4" s="4" t="s">
        <v>3</v>
      </c>
      <c r="F4" s="4">
        <v>1</v>
      </c>
      <c r="G4" s="4" t="s">
        <v>1</v>
      </c>
      <c r="H4" s="12" t="s">
        <v>2</v>
      </c>
      <c r="I4" s="4">
        <v>0</v>
      </c>
      <c r="J4" s="4">
        <v>2</v>
      </c>
      <c r="K4" s="4">
        <v>0</v>
      </c>
      <c r="L4" s="4">
        <v>1</v>
      </c>
      <c r="M4" s="4">
        <v>1</v>
      </c>
      <c r="N4" s="4">
        <v>0</v>
      </c>
      <c r="O4" s="4">
        <v>1</v>
      </c>
      <c r="P4" s="4">
        <v>4</v>
      </c>
      <c r="Q4" s="4">
        <v>0</v>
      </c>
      <c r="R4" s="4">
        <v>0</v>
      </c>
      <c r="S4" s="4">
        <v>2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14">
        <v>6.7272727272727275</v>
      </c>
      <c r="AA4" s="4">
        <v>11</v>
      </c>
      <c r="AB4" s="24">
        <v>10.183333333333334</v>
      </c>
      <c r="AC4" s="24">
        <v>12.5</v>
      </c>
      <c r="AD4" s="24">
        <v>2.3166666666666664</v>
      </c>
      <c r="AE4" s="24"/>
    </row>
    <row r="5" spans="1:31" s="4" customFormat="1" x14ac:dyDescent="0.35">
      <c r="A5" s="4">
        <v>1</v>
      </c>
      <c r="B5" s="4" t="s">
        <v>117</v>
      </c>
      <c r="C5" s="4">
        <v>1</v>
      </c>
      <c r="D5" s="5" t="s">
        <v>104</v>
      </c>
      <c r="E5" s="4" t="s">
        <v>3</v>
      </c>
      <c r="F5" s="4">
        <v>1</v>
      </c>
      <c r="G5" s="4" t="s">
        <v>114</v>
      </c>
      <c r="H5" s="12" t="s">
        <v>0</v>
      </c>
      <c r="I5" s="4">
        <v>2</v>
      </c>
      <c r="J5" s="4">
        <v>1</v>
      </c>
      <c r="K5" s="4">
        <v>2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2</v>
      </c>
      <c r="R5" s="4">
        <v>1</v>
      </c>
      <c r="S5" s="4">
        <v>0</v>
      </c>
      <c r="T5" s="4">
        <v>2</v>
      </c>
      <c r="U5" s="4">
        <v>1</v>
      </c>
      <c r="V5" s="4">
        <v>1</v>
      </c>
      <c r="W5" s="4">
        <v>1</v>
      </c>
      <c r="X5" s="4">
        <v>0</v>
      </c>
      <c r="Y5" s="14">
        <v>8</v>
      </c>
      <c r="AA5" s="4">
        <v>13</v>
      </c>
      <c r="AB5" s="24">
        <v>10.183333333333334</v>
      </c>
      <c r="AC5" s="24">
        <v>12.5</v>
      </c>
      <c r="AD5" s="24">
        <v>2.3166666666666664</v>
      </c>
      <c r="AE5" s="24"/>
    </row>
    <row r="6" spans="1:31" s="4" customFormat="1" x14ac:dyDescent="0.35">
      <c r="A6" s="4">
        <v>1</v>
      </c>
      <c r="B6" s="4" t="s">
        <v>118</v>
      </c>
      <c r="C6" s="4">
        <v>1</v>
      </c>
      <c r="D6" s="5" t="s">
        <v>104</v>
      </c>
      <c r="E6" s="4" t="s">
        <v>3</v>
      </c>
      <c r="F6" s="4">
        <v>2</v>
      </c>
      <c r="G6" s="4" t="s">
        <v>112</v>
      </c>
      <c r="H6" s="12" t="s">
        <v>0</v>
      </c>
      <c r="I6" s="4">
        <v>1</v>
      </c>
      <c r="J6" s="4">
        <v>1</v>
      </c>
      <c r="K6" s="4">
        <v>0</v>
      </c>
      <c r="L6" s="4">
        <v>0</v>
      </c>
      <c r="M6" s="4">
        <v>0</v>
      </c>
      <c r="N6" s="4">
        <v>6</v>
      </c>
      <c r="O6" s="4">
        <v>2</v>
      </c>
      <c r="P6" s="4">
        <v>11</v>
      </c>
      <c r="Q6" s="4">
        <v>7</v>
      </c>
      <c r="R6" s="4">
        <v>15</v>
      </c>
      <c r="S6" s="4">
        <v>3</v>
      </c>
      <c r="T6" s="4">
        <v>6</v>
      </c>
      <c r="U6" s="4">
        <v>7</v>
      </c>
      <c r="V6" s="4">
        <v>9</v>
      </c>
      <c r="W6" s="4">
        <v>5</v>
      </c>
      <c r="X6" s="4">
        <v>8</v>
      </c>
      <c r="Y6" s="14">
        <v>10.851851851851851</v>
      </c>
      <c r="AA6" s="4">
        <v>81</v>
      </c>
      <c r="AB6" s="24">
        <v>15.416666666666668</v>
      </c>
      <c r="AC6" s="24">
        <v>18.299999999999997</v>
      </c>
      <c r="AD6" s="24">
        <v>2.8833333333333293</v>
      </c>
      <c r="AE6" s="24"/>
    </row>
    <row r="7" spans="1:31" s="4" customFormat="1" x14ac:dyDescent="0.35">
      <c r="A7" s="4">
        <v>1</v>
      </c>
      <c r="B7" s="4" t="s">
        <v>118</v>
      </c>
      <c r="C7" s="4">
        <v>1</v>
      </c>
      <c r="D7" s="5" t="s">
        <v>104</v>
      </c>
      <c r="E7" s="4" t="s">
        <v>3</v>
      </c>
      <c r="F7" s="4">
        <v>2</v>
      </c>
      <c r="G7" s="4" t="s">
        <v>113</v>
      </c>
      <c r="H7" s="12" t="s">
        <v>2</v>
      </c>
      <c r="I7" s="4">
        <v>1</v>
      </c>
      <c r="J7" s="4">
        <v>3</v>
      </c>
      <c r="K7" s="4">
        <v>2</v>
      </c>
      <c r="L7" s="4">
        <v>1</v>
      </c>
      <c r="M7" s="4">
        <v>2</v>
      </c>
      <c r="N7" s="4">
        <v>2</v>
      </c>
      <c r="O7" s="4">
        <v>7</v>
      </c>
      <c r="P7" s="4">
        <v>7</v>
      </c>
      <c r="Q7" s="4">
        <v>8</v>
      </c>
      <c r="R7" s="4">
        <v>9</v>
      </c>
      <c r="S7" s="4">
        <v>4</v>
      </c>
      <c r="T7" s="4">
        <v>13</v>
      </c>
      <c r="U7" s="4">
        <v>10</v>
      </c>
      <c r="V7" s="4">
        <v>8</v>
      </c>
      <c r="W7" s="4">
        <v>1</v>
      </c>
      <c r="X7" s="4">
        <v>5</v>
      </c>
      <c r="Y7" s="14">
        <v>10.156626506024097</v>
      </c>
      <c r="AA7" s="4">
        <v>83</v>
      </c>
      <c r="AB7" s="24">
        <v>15.416666666666668</v>
      </c>
      <c r="AC7" s="24">
        <v>18.299999999999997</v>
      </c>
      <c r="AD7" s="24">
        <v>2.8833333333333293</v>
      </c>
      <c r="AE7" s="24"/>
    </row>
    <row r="8" spans="1:31" s="4" customFormat="1" x14ac:dyDescent="0.35">
      <c r="A8" s="4">
        <v>1</v>
      </c>
      <c r="B8" s="4" t="s">
        <v>118</v>
      </c>
      <c r="C8" s="4">
        <v>1</v>
      </c>
      <c r="D8" s="5" t="s">
        <v>104</v>
      </c>
      <c r="E8" s="4" t="s">
        <v>3</v>
      </c>
      <c r="F8" s="4">
        <v>2</v>
      </c>
      <c r="G8" s="4" t="s">
        <v>1</v>
      </c>
      <c r="H8" s="12" t="s">
        <v>2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1</v>
      </c>
      <c r="P8" s="4">
        <v>2</v>
      </c>
      <c r="Q8" s="4">
        <v>1</v>
      </c>
      <c r="R8" s="4">
        <v>0</v>
      </c>
      <c r="S8" s="4">
        <v>6</v>
      </c>
      <c r="T8" s="4">
        <v>3</v>
      </c>
      <c r="U8" s="4">
        <v>0</v>
      </c>
      <c r="V8" s="4">
        <v>1</v>
      </c>
      <c r="W8" s="4">
        <v>2</v>
      </c>
      <c r="X8" s="4">
        <v>1</v>
      </c>
      <c r="Y8" s="14">
        <v>11.411764705882353</v>
      </c>
      <c r="AA8" s="4">
        <v>17</v>
      </c>
      <c r="AB8" s="24">
        <v>15.416666666666668</v>
      </c>
      <c r="AC8" s="24">
        <v>18.299999999999997</v>
      </c>
      <c r="AD8" s="24">
        <v>2.8833333333333293</v>
      </c>
      <c r="AE8" s="24"/>
    </row>
    <row r="9" spans="1:31" s="4" customFormat="1" x14ac:dyDescent="0.35">
      <c r="A9" s="4">
        <v>1</v>
      </c>
      <c r="B9" s="4" t="s">
        <v>118</v>
      </c>
      <c r="C9" s="4">
        <v>1</v>
      </c>
      <c r="D9" s="5" t="s">
        <v>104</v>
      </c>
      <c r="E9" s="4" t="s">
        <v>3</v>
      </c>
      <c r="F9" s="4">
        <v>2</v>
      </c>
      <c r="G9" s="4" t="s">
        <v>114</v>
      </c>
      <c r="H9" s="12" t="s">
        <v>0</v>
      </c>
      <c r="I9" s="4">
        <v>0</v>
      </c>
      <c r="J9" s="4">
        <v>2</v>
      </c>
      <c r="K9" s="4">
        <v>0</v>
      </c>
      <c r="L9" s="4">
        <v>2</v>
      </c>
      <c r="M9" s="4">
        <v>0</v>
      </c>
      <c r="N9" s="4">
        <v>0</v>
      </c>
      <c r="O9" s="4">
        <v>1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1</v>
      </c>
      <c r="V9" s="4">
        <v>0</v>
      </c>
      <c r="W9" s="4">
        <v>0</v>
      </c>
      <c r="X9" s="4">
        <v>0</v>
      </c>
      <c r="Y9" s="14">
        <v>5.333333333333333</v>
      </c>
      <c r="AA9" s="4">
        <v>6</v>
      </c>
      <c r="AB9" s="24">
        <v>15.416666666666668</v>
      </c>
      <c r="AC9" s="24">
        <v>18.299999999999997</v>
      </c>
      <c r="AD9" s="24">
        <v>2.8833333333333293</v>
      </c>
      <c r="AE9" s="24"/>
    </row>
    <row r="10" spans="1:31" s="4" customFormat="1" x14ac:dyDescent="0.35">
      <c r="A10" s="4">
        <v>1</v>
      </c>
      <c r="B10" s="4" t="s">
        <v>117</v>
      </c>
      <c r="C10" s="4">
        <v>2</v>
      </c>
      <c r="D10" s="5" t="s">
        <v>104</v>
      </c>
      <c r="E10" s="4" t="s">
        <v>3</v>
      </c>
      <c r="F10" s="4">
        <v>3</v>
      </c>
      <c r="G10" s="4" t="s">
        <v>112</v>
      </c>
      <c r="H10" s="12" t="s">
        <v>2</v>
      </c>
      <c r="I10" s="4">
        <v>0</v>
      </c>
      <c r="J10" s="4">
        <v>1</v>
      </c>
      <c r="K10" s="4">
        <v>0</v>
      </c>
      <c r="L10" s="4">
        <v>0</v>
      </c>
      <c r="M10" s="4">
        <v>1</v>
      </c>
      <c r="N10" s="4">
        <v>1</v>
      </c>
      <c r="O10" s="4">
        <v>1</v>
      </c>
      <c r="P10" s="4">
        <v>4</v>
      </c>
      <c r="Q10" s="4">
        <v>6</v>
      </c>
      <c r="R10" s="4">
        <v>6</v>
      </c>
      <c r="S10" s="4">
        <v>4</v>
      </c>
      <c r="T10" s="4">
        <v>0</v>
      </c>
      <c r="U10" s="4">
        <v>0</v>
      </c>
      <c r="V10" s="4">
        <v>1</v>
      </c>
      <c r="W10" s="4">
        <v>1</v>
      </c>
      <c r="X10" s="4">
        <v>0</v>
      </c>
      <c r="Y10" s="14">
        <v>9.1923076923076916</v>
      </c>
      <c r="AA10" s="4">
        <v>26</v>
      </c>
      <c r="AB10" s="24">
        <v>9.1833333333333336</v>
      </c>
      <c r="AC10" s="24">
        <v>10.5</v>
      </c>
      <c r="AD10" s="24">
        <v>1.3166666666666664</v>
      </c>
      <c r="AE10" s="24"/>
    </row>
    <row r="11" spans="1:31" s="4" customFormat="1" x14ac:dyDescent="0.35">
      <c r="A11" s="4">
        <v>1</v>
      </c>
      <c r="B11" s="4" t="s">
        <v>117</v>
      </c>
      <c r="C11" s="4">
        <v>2</v>
      </c>
      <c r="D11" s="5" t="s">
        <v>104</v>
      </c>
      <c r="E11" s="4" t="s">
        <v>3</v>
      </c>
      <c r="F11" s="4">
        <v>3</v>
      </c>
      <c r="G11" s="4" t="s">
        <v>113</v>
      </c>
      <c r="H11" s="12" t="s">
        <v>0</v>
      </c>
      <c r="I11" s="4">
        <v>1</v>
      </c>
      <c r="J11" s="4">
        <v>2</v>
      </c>
      <c r="K11" s="4">
        <v>0</v>
      </c>
      <c r="L11" s="4">
        <v>0</v>
      </c>
      <c r="M11" s="4">
        <v>3</v>
      </c>
      <c r="N11" s="4">
        <v>0</v>
      </c>
      <c r="O11" s="4">
        <v>6</v>
      </c>
      <c r="P11" s="4">
        <v>8</v>
      </c>
      <c r="Q11" s="4">
        <v>3</v>
      </c>
      <c r="R11" s="4">
        <v>7</v>
      </c>
      <c r="S11" s="4">
        <v>5</v>
      </c>
      <c r="T11" s="4">
        <v>5</v>
      </c>
      <c r="U11" s="4">
        <v>9</v>
      </c>
      <c r="V11" s="4">
        <v>7</v>
      </c>
      <c r="W11" s="4">
        <v>5</v>
      </c>
      <c r="X11" s="4">
        <v>2</v>
      </c>
      <c r="Y11" s="14">
        <v>10.476190476190476</v>
      </c>
      <c r="AA11" s="4">
        <v>63</v>
      </c>
      <c r="AB11" s="24">
        <v>9.1833333333333336</v>
      </c>
      <c r="AC11" s="24">
        <v>10.5</v>
      </c>
      <c r="AD11" s="24">
        <v>1.3166666666666664</v>
      </c>
      <c r="AE11" s="24"/>
    </row>
    <row r="12" spans="1:31" s="4" customFormat="1" x14ac:dyDescent="0.35">
      <c r="A12" s="4">
        <v>1</v>
      </c>
      <c r="B12" s="4" t="s">
        <v>117</v>
      </c>
      <c r="C12" s="4">
        <v>2</v>
      </c>
      <c r="D12" s="5" t="s">
        <v>104</v>
      </c>
      <c r="E12" s="4" t="s">
        <v>3</v>
      </c>
      <c r="F12" s="4">
        <v>3</v>
      </c>
      <c r="G12" s="4" t="s">
        <v>112</v>
      </c>
      <c r="H12" s="12" t="s">
        <v>2</v>
      </c>
      <c r="I12" s="4">
        <v>0</v>
      </c>
      <c r="J12" s="4">
        <v>4</v>
      </c>
      <c r="K12" s="4">
        <v>2</v>
      </c>
      <c r="L12" s="4">
        <v>0</v>
      </c>
      <c r="M12" s="4">
        <v>3</v>
      </c>
      <c r="N12" s="4">
        <v>4</v>
      </c>
      <c r="O12" s="4">
        <v>4</v>
      </c>
      <c r="P12" s="4">
        <v>11</v>
      </c>
      <c r="Q12" s="4">
        <v>7</v>
      </c>
      <c r="R12" s="4">
        <v>7</v>
      </c>
      <c r="S12" s="4">
        <v>15</v>
      </c>
      <c r="T12" s="4">
        <v>10</v>
      </c>
      <c r="U12" s="4">
        <v>5</v>
      </c>
      <c r="V12" s="4">
        <v>10</v>
      </c>
      <c r="W12" s="4">
        <v>2</v>
      </c>
      <c r="X12" s="4">
        <v>2</v>
      </c>
      <c r="Y12" s="14">
        <v>9.9302325581395348</v>
      </c>
      <c r="AA12" s="4">
        <v>86</v>
      </c>
      <c r="AB12" s="24">
        <v>11.25</v>
      </c>
      <c r="AC12" s="24">
        <v>12.75</v>
      </c>
      <c r="AD12" s="24">
        <v>1.5</v>
      </c>
      <c r="AE12" s="24"/>
    </row>
    <row r="13" spans="1:31" s="4" customFormat="1" x14ac:dyDescent="0.35">
      <c r="A13" s="4">
        <v>1</v>
      </c>
      <c r="B13" s="4" t="s">
        <v>117</v>
      </c>
      <c r="C13" s="4">
        <v>2</v>
      </c>
      <c r="D13" s="5" t="s">
        <v>104</v>
      </c>
      <c r="E13" s="4" t="s">
        <v>3</v>
      </c>
      <c r="F13" s="4">
        <v>3</v>
      </c>
      <c r="G13" s="4" t="s">
        <v>113</v>
      </c>
      <c r="H13" s="12" t="s">
        <v>0</v>
      </c>
      <c r="I13" s="4">
        <v>4</v>
      </c>
      <c r="J13" s="4">
        <v>8</v>
      </c>
      <c r="K13" s="4">
        <v>8</v>
      </c>
      <c r="L13" s="4">
        <v>4</v>
      </c>
      <c r="M13" s="4">
        <v>4</v>
      </c>
      <c r="N13" s="4">
        <v>5</v>
      </c>
      <c r="O13" s="4">
        <v>6</v>
      </c>
      <c r="P13" s="4">
        <v>11</v>
      </c>
      <c r="Q13" s="4">
        <v>9</v>
      </c>
      <c r="R13" s="4">
        <v>6</v>
      </c>
      <c r="S13" s="4">
        <v>10</v>
      </c>
      <c r="T13" s="4">
        <v>9</v>
      </c>
      <c r="U13" s="4">
        <v>3</v>
      </c>
      <c r="V13" s="4">
        <v>1</v>
      </c>
      <c r="W13" s="4">
        <v>3</v>
      </c>
      <c r="X13" s="4">
        <v>2</v>
      </c>
      <c r="Y13" s="14">
        <v>7.838709677419355</v>
      </c>
      <c r="AA13" s="4">
        <v>93</v>
      </c>
      <c r="AB13" s="24">
        <v>11.25</v>
      </c>
      <c r="AC13" s="24">
        <v>12.75</v>
      </c>
      <c r="AD13" s="24">
        <v>1.5</v>
      </c>
      <c r="AE13" s="24"/>
    </row>
    <row r="14" spans="1:31" s="4" customFormat="1" x14ac:dyDescent="0.35">
      <c r="A14" s="4">
        <v>1</v>
      </c>
      <c r="B14" s="4" t="s">
        <v>118</v>
      </c>
      <c r="C14" s="4">
        <v>2</v>
      </c>
      <c r="D14" s="5" t="s">
        <v>104</v>
      </c>
      <c r="E14" s="4" t="s">
        <v>3</v>
      </c>
      <c r="F14" s="4">
        <v>4</v>
      </c>
      <c r="G14" s="4" t="s">
        <v>112</v>
      </c>
      <c r="H14" s="12" t="s">
        <v>2</v>
      </c>
      <c r="I14" s="4">
        <v>0</v>
      </c>
      <c r="J14" s="4">
        <v>0</v>
      </c>
      <c r="K14" s="4">
        <v>0</v>
      </c>
      <c r="L14" s="4">
        <v>1</v>
      </c>
      <c r="M14" s="4">
        <v>5</v>
      </c>
      <c r="N14" s="4">
        <v>3</v>
      </c>
      <c r="O14" s="4">
        <v>10</v>
      </c>
      <c r="P14" s="4">
        <v>3</v>
      </c>
      <c r="Q14" s="4">
        <v>6</v>
      </c>
      <c r="R14" s="4">
        <v>17</v>
      </c>
      <c r="S14" s="4">
        <v>15</v>
      </c>
      <c r="T14" s="4">
        <v>6</v>
      </c>
      <c r="U14" s="4">
        <v>6</v>
      </c>
      <c r="V14" s="4">
        <v>3</v>
      </c>
      <c r="W14" s="4">
        <v>0</v>
      </c>
      <c r="X14" s="4">
        <v>2</v>
      </c>
      <c r="Y14" s="14">
        <v>9.7922077922077921</v>
      </c>
      <c r="AA14" s="4">
        <v>77</v>
      </c>
      <c r="AB14" s="24">
        <v>13.6</v>
      </c>
      <c r="AC14" s="24">
        <v>15.416666666666668</v>
      </c>
      <c r="AD14" s="24">
        <v>1.8166666666666682</v>
      </c>
      <c r="AE14" s="24"/>
    </row>
    <row r="15" spans="1:31" s="4" customFormat="1" x14ac:dyDescent="0.35">
      <c r="A15" s="4">
        <v>1</v>
      </c>
      <c r="B15" s="4" t="s">
        <v>118</v>
      </c>
      <c r="C15" s="4">
        <v>2</v>
      </c>
      <c r="D15" s="5" t="s">
        <v>104</v>
      </c>
      <c r="E15" s="4" t="s">
        <v>3</v>
      </c>
      <c r="F15" s="4">
        <v>4</v>
      </c>
      <c r="G15" s="4" t="s">
        <v>113</v>
      </c>
      <c r="H15" s="12" t="s">
        <v>0</v>
      </c>
      <c r="I15" s="4">
        <v>2</v>
      </c>
      <c r="J15" s="4">
        <v>0</v>
      </c>
      <c r="K15" s="4">
        <v>6</v>
      </c>
      <c r="L15" s="4">
        <v>5</v>
      </c>
      <c r="M15" s="4">
        <v>4</v>
      </c>
      <c r="N15" s="4">
        <v>1</v>
      </c>
      <c r="O15" s="4">
        <v>4</v>
      </c>
      <c r="P15" s="4">
        <v>6</v>
      </c>
      <c r="Q15" s="4">
        <v>4</v>
      </c>
      <c r="R15" s="4">
        <v>1</v>
      </c>
      <c r="S15" s="4">
        <v>2</v>
      </c>
      <c r="T15" s="4">
        <v>3</v>
      </c>
      <c r="U15" s="4">
        <v>1</v>
      </c>
      <c r="V15" s="4">
        <v>0</v>
      </c>
      <c r="W15" s="4">
        <v>1</v>
      </c>
      <c r="X15" s="4">
        <v>0</v>
      </c>
      <c r="Y15" s="14">
        <v>6.85</v>
      </c>
      <c r="AA15" s="4">
        <v>40</v>
      </c>
      <c r="AB15" s="24">
        <v>13.6</v>
      </c>
      <c r="AC15" s="24">
        <v>15.416666666666668</v>
      </c>
      <c r="AD15" s="24">
        <v>1.8166666666666682</v>
      </c>
      <c r="AE15" s="24"/>
    </row>
    <row r="16" spans="1:31" s="4" customFormat="1" x14ac:dyDescent="0.35">
      <c r="A16" s="4">
        <v>1</v>
      </c>
      <c r="B16" s="4" t="s">
        <v>118</v>
      </c>
      <c r="C16" s="4">
        <v>2</v>
      </c>
      <c r="D16" s="5" t="s">
        <v>104</v>
      </c>
      <c r="E16" s="4" t="s">
        <v>3</v>
      </c>
      <c r="F16" s="4">
        <v>4</v>
      </c>
      <c r="G16" s="4" t="s">
        <v>112</v>
      </c>
      <c r="H16" s="12" t="s">
        <v>2</v>
      </c>
      <c r="I16" s="4">
        <v>0</v>
      </c>
      <c r="J16" s="4">
        <v>0</v>
      </c>
      <c r="K16" s="4">
        <v>1</v>
      </c>
      <c r="L16" s="4">
        <v>0</v>
      </c>
      <c r="M16" s="4">
        <v>3</v>
      </c>
      <c r="N16" s="4">
        <v>3</v>
      </c>
      <c r="O16" s="4">
        <v>8</v>
      </c>
      <c r="P16" s="4">
        <v>4</v>
      </c>
      <c r="Q16" s="4">
        <v>1</v>
      </c>
      <c r="R16" s="4">
        <v>8</v>
      </c>
      <c r="S16" s="4">
        <v>7</v>
      </c>
      <c r="T16" s="4">
        <v>10</v>
      </c>
      <c r="U16" s="4">
        <v>9</v>
      </c>
      <c r="V16" s="4">
        <v>6</v>
      </c>
      <c r="W16" s="4">
        <v>0</v>
      </c>
      <c r="X16" s="4">
        <v>1</v>
      </c>
      <c r="Y16" s="14">
        <v>10.278688524590164</v>
      </c>
      <c r="AA16" s="4">
        <v>61</v>
      </c>
      <c r="AB16" s="24">
        <v>15.833333333333332</v>
      </c>
      <c r="AC16" s="24">
        <v>18.25</v>
      </c>
      <c r="AD16" s="24">
        <v>2.4166666666666679</v>
      </c>
      <c r="AE16" s="24"/>
    </row>
    <row r="17" spans="1:31" s="4" customFormat="1" x14ac:dyDescent="0.35">
      <c r="A17" s="4">
        <v>1</v>
      </c>
      <c r="B17" s="4" t="s">
        <v>118</v>
      </c>
      <c r="C17" s="4">
        <v>2</v>
      </c>
      <c r="D17" s="5" t="s">
        <v>104</v>
      </c>
      <c r="E17" s="4" t="s">
        <v>3</v>
      </c>
      <c r="F17" s="4">
        <v>4</v>
      </c>
      <c r="G17" s="4" t="s">
        <v>113</v>
      </c>
      <c r="H17" s="12" t="s">
        <v>0</v>
      </c>
      <c r="I17" s="4">
        <v>0</v>
      </c>
      <c r="J17" s="4">
        <v>0</v>
      </c>
      <c r="K17" s="4">
        <v>3</v>
      </c>
      <c r="L17" s="4">
        <v>1</v>
      </c>
      <c r="M17" s="4">
        <v>3</v>
      </c>
      <c r="N17" s="4">
        <v>6</v>
      </c>
      <c r="O17" s="4">
        <v>3</v>
      </c>
      <c r="P17" s="4">
        <v>8</v>
      </c>
      <c r="Q17" s="4">
        <v>5</v>
      </c>
      <c r="R17" s="4">
        <v>0</v>
      </c>
      <c r="S17" s="4">
        <v>2</v>
      </c>
      <c r="T17" s="4">
        <v>5</v>
      </c>
      <c r="U17" s="4">
        <v>2</v>
      </c>
      <c r="V17" s="4">
        <v>3</v>
      </c>
      <c r="W17" s="4">
        <v>0</v>
      </c>
      <c r="X17" s="4">
        <v>1</v>
      </c>
      <c r="Y17" s="14">
        <v>8.5714285714285712</v>
      </c>
      <c r="AA17" s="4">
        <v>42</v>
      </c>
      <c r="AB17" s="24">
        <v>15.833333333333332</v>
      </c>
      <c r="AC17" s="24">
        <v>18.25</v>
      </c>
      <c r="AD17" s="24">
        <v>2.4166666666666679</v>
      </c>
      <c r="AE17" s="24"/>
    </row>
    <row r="18" spans="1:31" s="4" customFormat="1" x14ac:dyDescent="0.35">
      <c r="A18" s="4">
        <v>1</v>
      </c>
      <c r="B18" s="4" t="s">
        <v>118</v>
      </c>
      <c r="C18" s="4">
        <v>2</v>
      </c>
      <c r="D18" s="5" t="s">
        <v>104</v>
      </c>
      <c r="E18" s="4" t="s">
        <v>3</v>
      </c>
      <c r="F18" s="4">
        <v>1</v>
      </c>
      <c r="G18" s="4" t="s">
        <v>112</v>
      </c>
      <c r="H18" s="12" t="s">
        <v>2</v>
      </c>
      <c r="I18" s="4">
        <v>1</v>
      </c>
      <c r="J18" s="4">
        <v>1</v>
      </c>
      <c r="K18" s="4">
        <v>3</v>
      </c>
      <c r="L18" s="4">
        <v>1</v>
      </c>
      <c r="M18" s="4">
        <v>2</v>
      </c>
      <c r="N18" s="4">
        <v>0</v>
      </c>
      <c r="O18" s="4">
        <v>7</v>
      </c>
      <c r="P18" s="4">
        <v>3</v>
      </c>
      <c r="Q18" s="4">
        <v>1</v>
      </c>
      <c r="R18" s="4">
        <v>2</v>
      </c>
      <c r="S18" s="4">
        <v>1</v>
      </c>
      <c r="T18" s="4">
        <v>6</v>
      </c>
      <c r="U18" s="4">
        <v>3</v>
      </c>
      <c r="V18" s="4">
        <v>0</v>
      </c>
      <c r="W18" s="4">
        <v>1</v>
      </c>
      <c r="X18" s="4">
        <v>2</v>
      </c>
      <c r="Y18" s="14">
        <v>8.735294117647058</v>
      </c>
      <c r="AA18" s="4">
        <v>34</v>
      </c>
      <c r="AB18" s="24">
        <v>18.7</v>
      </c>
      <c r="AC18" s="24">
        <v>21</v>
      </c>
      <c r="AD18" s="24">
        <v>2.3000000000000007</v>
      </c>
      <c r="AE18" s="24"/>
    </row>
    <row r="19" spans="1:31" s="4" customFormat="1" x14ac:dyDescent="0.35">
      <c r="A19" s="4">
        <v>1</v>
      </c>
      <c r="B19" s="4" t="s">
        <v>118</v>
      </c>
      <c r="C19" s="4">
        <v>2</v>
      </c>
      <c r="D19" s="5" t="s">
        <v>104</v>
      </c>
      <c r="E19" s="4" t="s">
        <v>3</v>
      </c>
      <c r="F19" s="4">
        <v>2</v>
      </c>
      <c r="G19" s="4" t="s">
        <v>113</v>
      </c>
      <c r="H19" s="12" t="s">
        <v>0</v>
      </c>
      <c r="I19" s="4">
        <v>0</v>
      </c>
      <c r="J19" s="4">
        <v>0</v>
      </c>
      <c r="K19" s="4">
        <v>0</v>
      </c>
      <c r="L19" s="4">
        <v>0</v>
      </c>
      <c r="M19" s="4">
        <v>1</v>
      </c>
      <c r="N19" s="4">
        <v>2</v>
      </c>
      <c r="O19" s="4">
        <v>2</v>
      </c>
      <c r="P19" s="4">
        <v>4</v>
      </c>
      <c r="Q19" s="4">
        <v>3</v>
      </c>
      <c r="R19" s="4">
        <v>4</v>
      </c>
      <c r="S19" s="4">
        <v>3</v>
      </c>
      <c r="T19" s="4">
        <v>3</v>
      </c>
      <c r="U19" s="4">
        <v>3</v>
      </c>
      <c r="V19" s="4">
        <v>1</v>
      </c>
      <c r="W19" s="4">
        <v>0</v>
      </c>
      <c r="X19" s="4">
        <v>1</v>
      </c>
      <c r="Y19" s="14">
        <v>9.9259259259259256</v>
      </c>
      <c r="AA19" s="4">
        <v>27</v>
      </c>
      <c r="AB19" s="24">
        <v>18.7</v>
      </c>
      <c r="AC19" s="24">
        <v>21</v>
      </c>
      <c r="AD19" s="24">
        <v>2.3000000000000007</v>
      </c>
      <c r="AE19" s="24"/>
    </row>
    <row r="20" spans="1:31" s="4" customFormat="1" x14ac:dyDescent="0.35">
      <c r="A20" s="4">
        <v>1</v>
      </c>
      <c r="B20" s="4" t="s">
        <v>117</v>
      </c>
      <c r="C20" s="4">
        <v>3</v>
      </c>
      <c r="D20" s="5" t="s">
        <v>104</v>
      </c>
      <c r="E20" s="4" t="s">
        <v>1</v>
      </c>
      <c r="F20" s="4">
        <v>1</v>
      </c>
      <c r="G20" s="4" t="s">
        <v>112</v>
      </c>
      <c r="H20" s="12" t="s">
        <v>2</v>
      </c>
      <c r="I20" s="4">
        <v>0</v>
      </c>
      <c r="J20" s="4">
        <v>0</v>
      </c>
      <c r="K20" s="4">
        <v>0</v>
      </c>
      <c r="L20" s="4">
        <v>0</v>
      </c>
      <c r="M20" s="4">
        <v>1</v>
      </c>
      <c r="N20" s="4">
        <v>1</v>
      </c>
      <c r="O20" s="4">
        <v>2</v>
      </c>
      <c r="P20" s="4">
        <v>6</v>
      </c>
      <c r="Q20" s="4">
        <v>4</v>
      </c>
      <c r="R20" s="4">
        <v>14</v>
      </c>
      <c r="S20" s="4">
        <v>6</v>
      </c>
      <c r="T20" s="4">
        <v>5</v>
      </c>
      <c r="U20" s="4">
        <v>2</v>
      </c>
      <c r="V20" s="4">
        <v>4</v>
      </c>
      <c r="W20" s="4">
        <v>1</v>
      </c>
      <c r="X20" s="4">
        <v>2</v>
      </c>
      <c r="Y20" s="14">
        <v>10.5</v>
      </c>
      <c r="AA20" s="4">
        <v>48</v>
      </c>
      <c r="AB20" s="24">
        <v>10</v>
      </c>
      <c r="AC20" s="24">
        <v>11.283333333333333</v>
      </c>
      <c r="AD20" s="24">
        <v>1.2833333333333332</v>
      </c>
      <c r="AE20" s="24"/>
    </row>
    <row r="21" spans="1:31" s="4" customFormat="1" x14ac:dyDescent="0.35">
      <c r="A21" s="4">
        <v>1</v>
      </c>
      <c r="B21" s="4" t="s">
        <v>117</v>
      </c>
      <c r="C21" s="4">
        <v>3</v>
      </c>
      <c r="D21" s="5" t="s">
        <v>104</v>
      </c>
      <c r="E21" s="4" t="s">
        <v>1</v>
      </c>
      <c r="F21" s="4">
        <v>1</v>
      </c>
      <c r="G21" s="4" t="s">
        <v>113</v>
      </c>
      <c r="H21" s="12" t="s">
        <v>0</v>
      </c>
      <c r="I21" s="4">
        <v>4</v>
      </c>
      <c r="J21" s="4">
        <v>3</v>
      </c>
      <c r="K21" s="4">
        <v>0</v>
      </c>
      <c r="L21" s="4">
        <v>0</v>
      </c>
      <c r="M21" s="4">
        <v>2</v>
      </c>
      <c r="N21" s="4">
        <v>2</v>
      </c>
      <c r="O21" s="4">
        <v>4</v>
      </c>
      <c r="P21" s="4">
        <v>3</v>
      </c>
      <c r="Q21" s="4">
        <v>0</v>
      </c>
      <c r="R21" s="4">
        <v>5</v>
      </c>
      <c r="S21" s="4">
        <v>3</v>
      </c>
      <c r="T21" s="4">
        <v>9</v>
      </c>
      <c r="U21" s="4">
        <v>5</v>
      </c>
      <c r="V21" s="4">
        <v>4</v>
      </c>
      <c r="W21" s="4">
        <v>2</v>
      </c>
      <c r="X21" s="4">
        <v>3</v>
      </c>
      <c r="Y21" s="14">
        <v>9.6734693877551017</v>
      </c>
      <c r="AA21" s="4">
        <v>49</v>
      </c>
      <c r="AB21" s="24">
        <v>10</v>
      </c>
      <c r="AC21" s="24">
        <v>11.283333333333333</v>
      </c>
      <c r="AD21" s="24">
        <v>1.2833333333333332</v>
      </c>
      <c r="AE21" s="24"/>
    </row>
    <row r="22" spans="1:31" s="4" customFormat="1" x14ac:dyDescent="0.35">
      <c r="A22" s="4">
        <v>1</v>
      </c>
      <c r="B22" s="4" t="s">
        <v>117</v>
      </c>
      <c r="C22" s="4">
        <v>3</v>
      </c>
      <c r="D22" s="5" t="s">
        <v>104</v>
      </c>
      <c r="E22" s="4" t="s">
        <v>1</v>
      </c>
      <c r="F22" s="4">
        <v>2</v>
      </c>
      <c r="G22" s="4" t="s">
        <v>112</v>
      </c>
      <c r="H22" s="12" t="s">
        <v>2</v>
      </c>
      <c r="I22" s="4">
        <v>0</v>
      </c>
      <c r="J22" s="4">
        <v>1</v>
      </c>
      <c r="K22" s="4">
        <v>0</v>
      </c>
      <c r="L22" s="4">
        <v>2</v>
      </c>
      <c r="M22" s="4">
        <v>1</v>
      </c>
      <c r="N22" s="4">
        <v>1</v>
      </c>
      <c r="O22" s="4">
        <v>6</v>
      </c>
      <c r="P22" s="4">
        <v>10</v>
      </c>
      <c r="Q22" s="4">
        <v>8</v>
      </c>
      <c r="R22" s="4">
        <v>6</v>
      </c>
      <c r="S22" s="4">
        <v>10</v>
      </c>
      <c r="T22" s="4">
        <v>9</v>
      </c>
      <c r="U22" s="4">
        <v>7</v>
      </c>
      <c r="V22" s="4">
        <v>2</v>
      </c>
      <c r="W22" s="4">
        <v>5</v>
      </c>
      <c r="X22" s="4">
        <v>0</v>
      </c>
      <c r="Y22" s="14">
        <v>10.102941176470589</v>
      </c>
      <c r="AA22" s="4">
        <v>68</v>
      </c>
      <c r="AB22" s="24">
        <v>11.7</v>
      </c>
      <c r="AC22" s="24">
        <v>13.666666666666666</v>
      </c>
      <c r="AD22" s="24">
        <v>1.9666666666666668</v>
      </c>
      <c r="AE22" s="24"/>
    </row>
    <row r="23" spans="1:31" s="4" customFormat="1" x14ac:dyDescent="0.35">
      <c r="A23" s="4">
        <v>1</v>
      </c>
      <c r="B23" s="4" t="s">
        <v>117</v>
      </c>
      <c r="C23" s="4">
        <v>3</v>
      </c>
      <c r="D23" s="5" t="s">
        <v>104</v>
      </c>
      <c r="E23" s="4" t="s">
        <v>1</v>
      </c>
      <c r="F23" s="4">
        <v>2</v>
      </c>
      <c r="G23" s="4" t="s">
        <v>113</v>
      </c>
      <c r="H23" s="12" t="s">
        <v>0</v>
      </c>
      <c r="I23" s="4">
        <v>9</v>
      </c>
      <c r="J23" s="4">
        <v>9</v>
      </c>
      <c r="K23" s="4">
        <v>3</v>
      </c>
      <c r="L23" s="4">
        <v>0</v>
      </c>
      <c r="M23" s="4">
        <v>1</v>
      </c>
      <c r="N23" s="4">
        <v>2</v>
      </c>
      <c r="O23" s="4">
        <v>1</v>
      </c>
      <c r="P23" s="4">
        <v>1</v>
      </c>
      <c r="Q23" s="4">
        <v>2</v>
      </c>
      <c r="R23" s="4">
        <v>3</v>
      </c>
      <c r="S23" s="4">
        <v>2</v>
      </c>
      <c r="T23" s="4">
        <v>2</v>
      </c>
      <c r="U23" s="4">
        <v>0</v>
      </c>
      <c r="V23" s="4">
        <v>2</v>
      </c>
      <c r="W23" s="4">
        <v>6</v>
      </c>
      <c r="X23" s="4">
        <v>1</v>
      </c>
      <c r="Y23" s="14">
        <v>6.7272727272727275</v>
      </c>
      <c r="AA23" s="4">
        <v>44</v>
      </c>
      <c r="AB23" s="24">
        <v>11.7</v>
      </c>
      <c r="AC23" s="24">
        <v>13.666666666666666</v>
      </c>
      <c r="AD23" s="24">
        <v>1.9666666666666668</v>
      </c>
      <c r="AE23" s="24"/>
    </row>
    <row r="24" spans="1:31" s="4" customFormat="1" x14ac:dyDescent="0.35">
      <c r="A24" s="4">
        <v>1</v>
      </c>
      <c r="B24" s="4" t="s">
        <v>118</v>
      </c>
      <c r="C24" s="4">
        <v>3</v>
      </c>
      <c r="D24" s="5" t="s">
        <v>104</v>
      </c>
      <c r="E24" s="4" t="s">
        <v>1</v>
      </c>
      <c r="F24" s="4">
        <v>3</v>
      </c>
      <c r="G24" s="4" t="s">
        <v>112</v>
      </c>
      <c r="H24" s="12" t="s">
        <v>2</v>
      </c>
      <c r="I24" s="4">
        <v>0</v>
      </c>
      <c r="J24" s="4">
        <v>0</v>
      </c>
      <c r="K24" s="4">
        <v>0</v>
      </c>
      <c r="L24" s="4">
        <v>0</v>
      </c>
      <c r="M24" s="4">
        <v>3</v>
      </c>
      <c r="N24" s="4">
        <v>2</v>
      </c>
      <c r="O24" s="4">
        <v>4</v>
      </c>
      <c r="P24" s="4">
        <v>7</v>
      </c>
      <c r="Q24" s="4">
        <v>2</v>
      </c>
      <c r="R24" s="4">
        <v>4</v>
      </c>
      <c r="S24" s="4">
        <v>9</v>
      </c>
      <c r="T24" s="4">
        <v>8</v>
      </c>
      <c r="U24" s="4">
        <v>6</v>
      </c>
      <c r="V24" s="4">
        <v>4</v>
      </c>
      <c r="W24" s="4">
        <v>8</v>
      </c>
      <c r="X24" s="4">
        <v>2</v>
      </c>
      <c r="Y24" s="14">
        <v>11.016949152542374</v>
      </c>
      <c r="AA24" s="4">
        <v>59</v>
      </c>
      <c r="AB24" s="24">
        <v>14.066666666666666</v>
      </c>
      <c r="AC24" s="24">
        <v>16</v>
      </c>
      <c r="AD24" s="24">
        <v>1.9333333333333336</v>
      </c>
      <c r="AE24" s="24"/>
    </row>
    <row r="25" spans="1:31" s="4" customFormat="1" x14ac:dyDescent="0.35">
      <c r="A25" s="4">
        <v>1</v>
      </c>
      <c r="B25" s="4" t="s">
        <v>118</v>
      </c>
      <c r="C25" s="4">
        <v>3</v>
      </c>
      <c r="D25" s="5" t="s">
        <v>104</v>
      </c>
      <c r="E25" s="4" t="s">
        <v>1</v>
      </c>
      <c r="F25" s="4">
        <v>3</v>
      </c>
      <c r="G25" s="4" t="s">
        <v>113</v>
      </c>
      <c r="H25" s="12" t="s">
        <v>0</v>
      </c>
      <c r="I25" s="4">
        <v>9</v>
      </c>
      <c r="J25" s="4">
        <v>5</v>
      </c>
      <c r="K25" s="4">
        <v>4</v>
      </c>
      <c r="L25" s="4">
        <v>1</v>
      </c>
      <c r="M25" s="4">
        <v>3</v>
      </c>
      <c r="N25" s="4">
        <v>2</v>
      </c>
      <c r="O25" s="4">
        <v>1</v>
      </c>
      <c r="P25" s="4">
        <v>3</v>
      </c>
      <c r="Q25" s="4">
        <v>2</v>
      </c>
      <c r="R25" s="4">
        <v>3</v>
      </c>
      <c r="S25" s="4">
        <v>0</v>
      </c>
      <c r="T25" s="4">
        <v>0</v>
      </c>
      <c r="U25" s="4">
        <v>1</v>
      </c>
      <c r="V25" s="4">
        <v>5</v>
      </c>
      <c r="W25" s="4">
        <v>3</v>
      </c>
      <c r="X25" s="4">
        <v>3</v>
      </c>
      <c r="Y25" s="14">
        <v>7.0444444444444443</v>
      </c>
      <c r="AA25" s="4">
        <v>45</v>
      </c>
      <c r="AB25" s="24">
        <v>14.066666666666666</v>
      </c>
      <c r="AC25" s="24">
        <v>16</v>
      </c>
      <c r="AD25" s="24">
        <v>1.9333333333333336</v>
      </c>
      <c r="AE25" s="24"/>
    </row>
    <row r="26" spans="1:31" s="4" customFormat="1" x14ac:dyDescent="0.35">
      <c r="A26" s="4">
        <v>1</v>
      </c>
      <c r="B26" s="4" t="s">
        <v>118</v>
      </c>
      <c r="C26" s="4">
        <v>3</v>
      </c>
      <c r="D26" s="5" t="s">
        <v>104</v>
      </c>
      <c r="E26" s="4" t="s">
        <v>1</v>
      </c>
      <c r="F26" s="4">
        <v>4</v>
      </c>
      <c r="G26" s="4" t="s">
        <v>112</v>
      </c>
      <c r="H26" s="12" t="s">
        <v>2</v>
      </c>
      <c r="I26" s="4">
        <v>0</v>
      </c>
      <c r="J26" s="4">
        <v>1</v>
      </c>
      <c r="K26" s="4">
        <v>0</v>
      </c>
      <c r="L26" s="4">
        <v>0</v>
      </c>
      <c r="M26" s="4">
        <v>2</v>
      </c>
      <c r="N26" s="4">
        <v>6</v>
      </c>
      <c r="O26" s="4">
        <v>4</v>
      </c>
      <c r="P26" s="4">
        <v>5</v>
      </c>
      <c r="Q26" s="4">
        <v>3</v>
      </c>
      <c r="R26" s="4">
        <v>8</v>
      </c>
      <c r="S26" s="4">
        <v>9</v>
      </c>
      <c r="T26" s="4">
        <v>6</v>
      </c>
      <c r="U26" s="4">
        <v>10</v>
      </c>
      <c r="V26" s="4">
        <v>5</v>
      </c>
      <c r="W26" s="4">
        <v>6</v>
      </c>
      <c r="X26" s="4">
        <v>1</v>
      </c>
      <c r="Y26" s="14">
        <v>10.606060606060606</v>
      </c>
      <c r="AA26" s="4">
        <v>66</v>
      </c>
      <c r="AB26" s="24">
        <v>16.3</v>
      </c>
      <c r="AC26" s="24">
        <v>19</v>
      </c>
      <c r="AD26" s="24">
        <v>2.6999999999999993</v>
      </c>
      <c r="AE26" s="24"/>
    </row>
    <row r="27" spans="1:31" s="4" customFormat="1" x14ac:dyDescent="0.35">
      <c r="A27" s="4">
        <v>1</v>
      </c>
      <c r="B27" s="4" t="s">
        <v>118</v>
      </c>
      <c r="C27" s="4">
        <v>3</v>
      </c>
      <c r="D27" s="5" t="s">
        <v>104</v>
      </c>
      <c r="E27" s="4" t="s">
        <v>1</v>
      </c>
      <c r="F27" s="4">
        <v>4</v>
      </c>
      <c r="G27" s="4" t="s">
        <v>113</v>
      </c>
      <c r="H27" s="12" t="s">
        <v>0</v>
      </c>
      <c r="I27" s="4">
        <v>14</v>
      </c>
      <c r="J27" s="4">
        <v>13</v>
      </c>
      <c r="K27" s="4">
        <v>4</v>
      </c>
      <c r="L27" s="4">
        <v>1</v>
      </c>
      <c r="M27" s="4">
        <v>2</v>
      </c>
      <c r="N27" s="4">
        <v>2</v>
      </c>
      <c r="O27" s="4">
        <v>4</v>
      </c>
      <c r="P27" s="4">
        <v>4</v>
      </c>
      <c r="Q27" s="4">
        <v>3</v>
      </c>
      <c r="R27" s="4">
        <v>4</v>
      </c>
      <c r="S27" s="4">
        <v>1</v>
      </c>
      <c r="T27" s="4">
        <v>3</v>
      </c>
      <c r="U27" s="4">
        <v>6</v>
      </c>
      <c r="V27" s="4">
        <v>7</v>
      </c>
      <c r="W27" s="4">
        <v>6</v>
      </c>
      <c r="X27" s="4">
        <v>8</v>
      </c>
      <c r="Y27" s="14">
        <v>7.8780487804878048</v>
      </c>
      <c r="AA27" s="4">
        <v>82</v>
      </c>
      <c r="AB27" s="24">
        <v>16.3</v>
      </c>
      <c r="AC27" s="24">
        <v>19</v>
      </c>
      <c r="AD27" s="24">
        <v>2.6999999999999993</v>
      </c>
      <c r="AE27" s="24"/>
    </row>
    <row r="28" spans="1:31" x14ac:dyDescent="0.35">
      <c r="A28">
        <v>2</v>
      </c>
      <c r="B28" t="s">
        <v>117</v>
      </c>
      <c r="C28">
        <v>1</v>
      </c>
      <c r="D28" s="2" t="s">
        <v>104</v>
      </c>
      <c r="E28" t="s">
        <v>3</v>
      </c>
      <c r="F28">
        <v>1</v>
      </c>
      <c r="G28" t="s">
        <v>112</v>
      </c>
      <c r="H28" s="11" t="s">
        <v>0</v>
      </c>
      <c r="I28">
        <v>0</v>
      </c>
      <c r="J28">
        <v>0</v>
      </c>
      <c r="K28">
        <v>1</v>
      </c>
      <c r="L28">
        <v>2</v>
      </c>
      <c r="M28">
        <v>2</v>
      </c>
      <c r="N28">
        <v>2</v>
      </c>
      <c r="O28">
        <v>2</v>
      </c>
      <c r="P28">
        <v>4</v>
      </c>
      <c r="Q28">
        <v>9</v>
      </c>
      <c r="R28">
        <v>10</v>
      </c>
      <c r="S28">
        <v>10</v>
      </c>
      <c r="T28">
        <v>7</v>
      </c>
      <c r="U28">
        <v>4</v>
      </c>
      <c r="V28">
        <v>2</v>
      </c>
      <c r="W28">
        <v>14</v>
      </c>
      <c r="X28">
        <v>3</v>
      </c>
      <c r="Y28" s="15">
        <v>11</v>
      </c>
      <c r="AA28">
        <v>72</v>
      </c>
      <c r="AB28" s="25">
        <v>11.116666666666667</v>
      </c>
      <c r="AC28" s="25"/>
      <c r="AD28" s="25"/>
    </row>
    <row r="29" spans="1:31" x14ac:dyDescent="0.35">
      <c r="A29">
        <v>2</v>
      </c>
      <c r="B29" t="s">
        <v>117</v>
      </c>
      <c r="C29">
        <v>1</v>
      </c>
      <c r="D29" s="2" t="s">
        <v>104</v>
      </c>
      <c r="E29" t="s">
        <v>3</v>
      </c>
      <c r="F29">
        <v>1</v>
      </c>
      <c r="G29" t="s">
        <v>113</v>
      </c>
      <c r="H29" s="11" t="s">
        <v>2</v>
      </c>
      <c r="I29">
        <v>0</v>
      </c>
      <c r="J29">
        <v>3</v>
      </c>
      <c r="K29">
        <v>2</v>
      </c>
      <c r="L29">
        <v>2</v>
      </c>
      <c r="M29">
        <v>3</v>
      </c>
      <c r="N29">
        <v>3</v>
      </c>
      <c r="O29">
        <v>12</v>
      </c>
      <c r="P29">
        <v>11</v>
      </c>
      <c r="Q29">
        <v>10</v>
      </c>
      <c r="R29">
        <v>9</v>
      </c>
      <c r="S29">
        <v>9</v>
      </c>
      <c r="T29">
        <v>4</v>
      </c>
      <c r="U29">
        <v>7</v>
      </c>
      <c r="V29">
        <v>5</v>
      </c>
      <c r="W29">
        <v>6</v>
      </c>
      <c r="X29">
        <v>2</v>
      </c>
      <c r="Y29" s="15">
        <v>9.4886363636363633</v>
      </c>
      <c r="AA29">
        <v>88</v>
      </c>
      <c r="AB29" s="25">
        <v>11.116666666666667</v>
      </c>
      <c r="AC29" s="25"/>
      <c r="AD29" s="25"/>
    </row>
    <row r="30" spans="1:31" x14ac:dyDescent="0.35">
      <c r="A30">
        <v>2</v>
      </c>
      <c r="B30" t="s">
        <v>117</v>
      </c>
      <c r="C30">
        <v>1</v>
      </c>
      <c r="D30" s="2" t="s">
        <v>104</v>
      </c>
      <c r="E30" t="s">
        <v>3</v>
      </c>
      <c r="F30">
        <v>1</v>
      </c>
      <c r="G30" t="s">
        <v>1</v>
      </c>
      <c r="H30" s="11" t="s">
        <v>2</v>
      </c>
      <c r="I30">
        <v>1</v>
      </c>
      <c r="J30">
        <v>6</v>
      </c>
      <c r="K30">
        <v>5</v>
      </c>
      <c r="L30">
        <v>2</v>
      </c>
      <c r="M30">
        <v>3</v>
      </c>
      <c r="N30">
        <v>4</v>
      </c>
      <c r="O30">
        <v>3</v>
      </c>
      <c r="P30">
        <v>3</v>
      </c>
      <c r="Q30">
        <v>3</v>
      </c>
      <c r="R30">
        <v>3</v>
      </c>
      <c r="S30">
        <v>2</v>
      </c>
      <c r="T30">
        <v>1</v>
      </c>
      <c r="U30">
        <v>1</v>
      </c>
      <c r="V30">
        <v>0</v>
      </c>
      <c r="W30">
        <v>1</v>
      </c>
      <c r="X30">
        <v>5</v>
      </c>
      <c r="Y30" s="15">
        <v>7.4186046511627906</v>
      </c>
      <c r="AA30">
        <v>43</v>
      </c>
      <c r="AB30" s="25">
        <v>11.116666666666667</v>
      </c>
      <c r="AC30" s="25"/>
      <c r="AD30" s="25"/>
    </row>
    <row r="31" spans="1:31" x14ac:dyDescent="0.35">
      <c r="A31">
        <v>2</v>
      </c>
      <c r="B31" t="s">
        <v>117</v>
      </c>
      <c r="C31">
        <v>1</v>
      </c>
      <c r="D31" s="2" t="s">
        <v>104</v>
      </c>
      <c r="E31" t="s">
        <v>3</v>
      </c>
      <c r="F31">
        <v>1</v>
      </c>
      <c r="G31" t="s">
        <v>114</v>
      </c>
      <c r="H31" s="11" t="s">
        <v>0</v>
      </c>
      <c r="I31">
        <v>0</v>
      </c>
      <c r="J31">
        <v>3</v>
      </c>
      <c r="K31">
        <v>6</v>
      </c>
      <c r="L31">
        <v>5</v>
      </c>
      <c r="M31">
        <v>10</v>
      </c>
      <c r="N31">
        <v>7</v>
      </c>
      <c r="O31">
        <v>11</v>
      </c>
      <c r="P31">
        <v>10</v>
      </c>
      <c r="Q31">
        <v>6</v>
      </c>
      <c r="R31">
        <v>3</v>
      </c>
      <c r="S31">
        <v>9</v>
      </c>
      <c r="T31">
        <v>9</v>
      </c>
      <c r="U31">
        <v>2</v>
      </c>
      <c r="V31">
        <v>3</v>
      </c>
      <c r="W31">
        <v>0</v>
      </c>
      <c r="X31">
        <v>0</v>
      </c>
      <c r="Y31" s="15">
        <v>7.7619047619047619</v>
      </c>
      <c r="AA31">
        <v>84</v>
      </c>
      <c r="AB31" s="25">
        <v>11.116666666666667</v>
      </c>
      <c r="AC31" s="25"/>
      <c r="AD31" s="25"/>
    </row>
    <row r="32" spans="1:31" x14ac:dyDescent="0.35">
      <c r="A32">
        <v>2</v>
      </c>
      <c r="B32" t="s">
        <v>118</v>
      </c>
      <c r="C32">
        <v>1</v>
      </c>
      <c r="D32" s="2" t="s">
        <v>104</v>
      </c>
      <c r="E32" t="s">
        <v>3</v>
      </c>
      <c r="F32">
        <v>2</v>
      </c>
      <c r="G32" t="s">
        <v>112</v>
      </c>
      <c r="H32" s="11" t="s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5</v>
      </c>
      <c r="P32">
        <v>3</v>
      </c>
      <c r="Q32">
        <v>13</v>
      </c>
      <c r="R32">
        <v>19</v>
      </c>
      <c r="S32">
        <v>17</v>
      </c>
      <c r="T32">
        <v>12</v>
      </c>
      <c r="U32">
        <v>23</v>
      </c>
      <c r="V32">
        <v>5</v>
      </c>
      <c r="W32">
        <v>7</v>
      </c>
      <c r="X32">
        <v>3</v>
      </c>
      <c r="Y32" s="15">
        <v>11.342592592592593</v>
      </c>
      <c r="AA32">
        <v>108</v>
      </c>
      <c r="AB32" s="25">
        <v>14.25</v>
      </c>
      <c r="AC32" s="25"/>
      <c r="AD32" s="25"/>
    </row>
    <row r="33" spans="1:31" x14ac:dyDescent="0.35">
      <c r="A33">
        <v>2</v>
      </c>
      <c r="B33" t="s">
        <v>118</v>
      </c>
      <c r="C33">
        <v>1</v>
      </c>
      <c r="D33" s="2" t="s">
        <v>104</v>
      </c>
      <c r="E33" t="s">
        <v>3</v>
      </c>
      <c r="F33">
        <v>2</v>
      </c>
      <c r="G33" t="s">
        <v>113</v>
      </c>
      <c r="H33" s="11" t="s">
        <v>2</v>
      </c>
      <c r="I33">
        <v>11</v>
      </c>
      <c r="J33">
        <v>0</v>
      </c>
      <c r="K33">
        <v>8</v>
      </c>
      <c r="L33">
        <v>3</v>
      </c>
      <c r="M33">
        <v>6</v>
      </c>
      <c r="N33">
        <v>4</v>
      </c>
      <c r="O33">
        <v>8</v>
      </c>
      <c r="P33">
        <v>8</v>
      </c>
      <c r="Q33">
        <v>6</v>
      </c>
      <c r="R33">
        <v>7</v>
      </c>
      <c r="S33">
        <v>4</v>
      </c>
      <c r="T33">
        <v>4</v>
      </c>
      <c r="U33">
        <v>2</v>
      </c>
      <c r="V33">
        <v>4</v>
      </c>
      <c r="W33">
        <v>0</v>
      </c>
      <c r="X33">
        <v>0</v>
      </c>
      <c r="Y33" s="15">
        <v>6.92</v>
      </c>
      <c r="AA33">
        <v>75</v>
      </c>
      <c r="AB33" s="25">
        <v>14.25</v>
      </c>
      <c r="AC33" s="25"/>
      <c r="AD33" s="25"/>
    </row>
    <row r="34" spans="1:31" x14ac:dyDescent="0.35">
      <c r="A34">
        <v>2</v>
      </c>
      <c r="B34" t="s">
        <v>118</v>
      </c>
      <c r="C34">
        <v>1</v>
      </c>
      <c r="D34" s="2" t="s">
        <v>104</v>
      </c>
      <c r="E34" t="s">
        <v>3</v>
      </c>
      <c r="F34">
        <v>2</v>
      </c>
      <c r="G34" t="s">
        <v>1</v>
      </c>
      <c r="H34" s="11" t="s">
        <v>2</v>
      </c>
      <c r="I34">
        <v>11</v>
      </c>
      <c r="J34">
        <v>14</v>
      </c>
      <c r="K34">
        <v>25</v>
      </c>
      <c r="L34">
        <v>1</v>
      </c>
      <c r="M34">
        <v>9</v>
      </c>
      <c r="N34">
        <v>16</v>
      </c>
      <c r="O34">
        <v>5</v>
      </c>
      <c r="P34">
        <v>4</v>
      </c>
      <c r="Q34">
        <v>2</v>
      </c>
      <c r="R34">
        <v>0</v>
      </c>
      <c r="S34">
        <v>1</v>
      </c>
      <c r="T34">
        <v>1</v>
      </c>
      <c r="U34">
        <v>1</v>
      </c>
      <c r="V34">
        <v>1</v>
      </c>
      <c r="W34">
        <v>0</v>
      </c>
      <c r="X34">
        <v>0</v>
      </c>
      <c r="Y34" s="15">
        <v>4.3296703296703294</v>
      </c>
      <c r="AA34">
        <v>91</v>
      </c>
      <c r="AB34" s="25">
        <v>14.25</v>
      </c>
      <c r="AC34" s="25"/>
      <c r="AD34" s="25"/>
    </row>
    <row r="35" spans="1:31" x14ac:dyDescent="0.35">
      <c r="A35">
        <v>2</v>
      </c>
      <c r="B35" t="s">
        <v>118</v>
      </c>
      <c r="C35">
        <v>1</v>
      </c>
      <c r="D35" s="2" t="s">
        <v>104</v>
      </c>
      <c r="E35" t="s">
        <v>3</v>
      </c>
      <c r="F35">
        <v>2</v>
      </c>
      <c r="G35" t="s">
        <v>114</v>
      </c>
      <c r="H35" s="11" t="s">
        <v>0</v>
      </c>
      <c r="I35">
        <v>0</v>
      </c>
      <c r="J35">
        <v>3</v>
      </c>
      <c r="K35">
        <v>5</v>
      </c>
      <c r="L35">
        <v>5</v>
      </c>
      <c r="M35">
        <v>10</v>
      </c>
      <c r="N35">
        <v>7</v>
      </c>
      <c r="O35">
        <v>7</v>
      </c>
      <c r="P35">
        <v>12</v>
      </c>
      <c r="Q35">
        <v>9</v>
      </c>
      <c r="R35">
        <v>13</v>
      </c>
      <c r="S35">
        <v>14</v>
      </c>
      <c r="T35">
        <v>5</v>
      </c>
      <c r="U35">
        <v>2</v>
      </c>
      <c r="V35">
        <v>0</v>
      </c>
      <c r="W35">
        <v>0</v>
      </c>
      <c r="X35">
        <v>0</v>
      </c>
      <c r="Y35" s="15">
        <v>7.9239130434782608</v>
      </c>
      <c r="AA35">
        <v>92</v>
      </c>
      <c r="AB35" s="25">
        <v>14.25</v>
      </c>
      <c r="AC35" s="25"/>
      <c r="AD35" s="25"/>
    </row>
    <row r="36" spans="1:31" x14ac:dyDescent="0.35">
      <c r="A36">
        <v>2</v>
      </c>
      <c r="B36" t="s">
        <v>117</v>
      </c>
      <c r="C36">
        <v>2</v>
      </c>
      <c r="D36" s="2" t="s">
        <v>104</v>
      </c>
      <c r="E36" t="s">
        <v>3</v>
      </c>
      <c r="F36">
        <v>3</v>
      </c>
      <c r="G36" t="s">
        <v>112</v>
      </c>
      <c r="H36" s="11" t="s">
        <v>0</v>
      </c>
      <c r="I36">
        <v>0</v>
      </c>
      <c r="J36">
        <v>1</v>
      </c>
      <c r="K36">
        <v>0</v>
      </c>
      <c r="L36">
        <v>6</v>
      </c>
      <c r="M36">
        <v>1</v>
      </c>
      <c r="N36">
        <v>1</v>
      </c>
      <c r="O36">
        <v>3</v>
      </c>
      <c r="P36">
        <v>5</v>
      </c>
      <c r="Q36">
        <v>10</v>
      </c>
      <c r="R36">
        <v>13</v>
      </c>
      <c r="S36">
        <v>11</v>
      </c>
      <c r="T36">
        <v>6</v>
      </c>
      <c r="U36">
        <v>2</v>
      </c>
      <c r="V36">
        <v>6</v>
      </c>
      <c r="W36">
        <v>21</v>
      </c>
      <c r="X36">
        <v>15</v>
      </c>
      <c r="Y36" s="15">
        <v>11.643564356435643</v>
      </c>
      <c r="AA36">
        <v>101</v>
      </c>
      <c r="AB36" s="25">
        <v>10.333333333333334</v>
      </c>
      <c r="AC36" s="25"/>
      <c r="AD36" s="25"/>
    </row>
    <row r="37" spans="1:31" x14ac:dyDescent="0.35">
      <c r="A37">
        <v>2</v>
      </c>
      <c r="B37" t="s">
        <v>117</v>
      </c>
      <c r="C37">
        <v>2</v>
      </c>
      <c r="D37" s="2" t="s">
        <v>104</v>
      </c>
      <c r="E37" t="s">
        <v>3</v>
      </c>
      <c r="F37">
        <v>3</v>
      </c>
      <c r="G37" t="s">
        <v>113</v>
      </c>
      <c r="H37" s="11" t="s">
        <v>2</v>
      </c>
      <c r="I37">
        <v>4</v>
      </c>
      <c r="J37">
        <v>4</v>
      </c>
      <c r="K37">
        <v>2</v>
      </c>
      <c r="L37">
        <v>0</v>
      </c>
      <c r="M37">
        <v>0</v>
      </c>
      <c r="N37">
        <v>2</v>
      </c>
      <c r="O37">
        <v>8</v>
      </c>
      <c r="P37">
        <v>10</v>
      </c>
      <c r="Q37">
        <v>6</v>
      </c>
      <c r="R37">
        <v>8</v>
      </c>
      <c r="S37">
        <v>6</v>
      </c>
      <c r="T37">
        <v>10</v>
      </c>
      <c r="U37">
        <v>5</v>
      </c>
      <c r="V37">
        <v>8</v>
      </c>
      <c r="W37">
        <v>4</v>
      </c>
      <c r="X37">
        <v>4</v>
      </c>
      <c r="Y37" s="15">
        <v>9.716049382716049</v>
      </c>
      <c r="AA37">
        <v>81</v>
      </c>
      <c r="AB37" s="25">
        <v>10.333333333333334</v>
      </c>
      <c r="AC37" s="25"/>
      <c r="AD37" s="25"/>
    </row>
    <row r="38" spans="1:31" x14ac:dyDescent="0.35">
      <c r="A38">
        <v>2</v>
      </c>
      <c r="B38" t="s">
        <v>117</v>
      </c>
      <c r="C38">
        <v>2</v>
      </c>
      <c r="D38" s="2" t="s">
        <v>104</v>
      </c>
      <c r="E38" t="s">
        <v>3</v>
      </c>
      <c r="F38">
        <v>3</v>
      </c>
      <c r="G38" t="s">
        <v>1</v>
      </c>
      <c r="H38" s="11" t="s">
        <v>2</v>
      </c>
      <c r="I38">
        <v>6</v>
      </c>
      <c r="J38">
        <v>4</v>
      </c>
      <c r="K38">
        <v>0</v>
      </c>
      <c r="L38">
        <v>10</v>
      </c>
      <c r="M38">
        <v>5</v>
      </c>
      <c r="N38">
        <v>6</v>
      </c>
      <c r="O38">
        <v>6</v>
      </c>
      <c r="P38">
        <v>11</v>
      </c>
      <c r="Q38">
        <v>5</v>
      </c>
      <c r="R38">
        <v>4</v>
      </c>
      <c r="S38">
        <v>1</v>
      </c>
      <c r="T38">
        <v>7</v>
      </c>
      <c r="U38">
        <v>2</v>
      </c>
      <c r="V38">
        <v>3</v>
      </c>
      <c r="W38">
        <v>0</v>
      </c>
      <c r="X38">
        <v>0</v>
      </c>
      <c r="Y38" s="15">
        <v>7.0428571428571427</v>
      </c>
      <c r="AA38">
        <v>70</v>
      </c>
      <c r="AB38" s="25">
        <v>10.333333333333334</v>
      </c>
      <c r="AC38" s="25"/>
      <c r="AD38" s="25"/>
    </row>
    <row r="39" spans="1:31" x14ac:dyDescent="0.35">
      <c r="A39">
        <v>2</v>
      </c>
      <c r="B39" t="s">
        <v>117</v>
      </c>
      <c r="C39">
        <v>2</v>
      </c>
      <c r="D39" s="2" t="s">
        <v>104</v>
      </c>
      <c r="E39" t="s">
        <v>3</v>
      </c>
      <c r="F39">
        <v>3</v>
      </c>
      <c r="G39" t="s">
        <v>114</v>
      </c>
      <c r="H39" s="11" t="s">
        <v>0</v>
      </c>
      <c r="I39">
        <v>2</v>
      </c>
      <c r="J39">
        <v>4</v>
      </c>
      <c r="K39">
        <v>4</v>
      </c>
      <c r="L39">
        <v>2</v>
      </c>
      <c r="M39">
        <v>11</v>
      </c>
      <c r="N39">
        <v>1</v>
      </c>
      <c r="O39">
        <v>0</v>
      </c>
      <c r="P39">
        <v>11</v>
      </c>
      <c r="Q39">
        <v>6</v>
      </c>
      <c r="R39">
        <v>5</v>
      </c>
      <c r="S39">
        <v>4</v>
      </c>
      <c r="T39">
        <v>8</v>
      </c>
      <c r="U39">
        <v>0</v>
      </c>
      <c r="V39">
        <v>0</v>
      </c>
      <c r="W39">
        <v>0</v>
      </c>
      <c r="X39">
        <v>0</v>
      </c>
      <c r="Y39" s="15">
        <v>7.2931034482758621</v>
      </c>
      <c r="AA39">
        <v>58</v>
      </c>
      <c r="AB39" s="25">
        <v>10.333333333333334</v>
      </c>
      <c r="AC39" s="25"/>
      <c r="AD39" s="25"/>
    </row>
    <row r="40" spans="1:31" x14ac:dyDescent="0.35">
      <c r="A40">
        <v>2</v>
      </c>
      <c r="B40" t="s">
        <v>118</v>
      </c>
      <c r="C40">
        <v>2</v>
      </c>
      <c r="D40" s="2" t="s">
        <v>104</v>
      </c>
      <c r="E40" t="s">
        <v>3</v>
      </c>
      <c r="F40">
        <v>4</v>
      </c>
      <c r="G40" t="s">
        <v>112</v>
      </c>
      <c r="H40" s="11" t="s">
        <v>0</v>
      </c>
      <c r="I40">
        <v>0</v>
      </c>
      <c r="J40">
        <v>0</v>
      </c>
      <c r="K40">
        <v>0</v>
      </c>
      <c r="L40">
        <v>2</v>
      </c>
      <c r="M40">
        <v>0</v>
      </c>
      <c r="N40">
        <v>3</v>
      </c>
      <c r="O40">
        <v>3</v>
      </c>
      <c r="P40">
        <v>7</v>
      </c>
      <c r="Q40">
        <v>14</v>
      </c>
      <c r="R40">
        <v>17</v>
      </c>
      <c r="S40">
        <v>21</v>
      </c>
      <c r="T40">
        <v>6</v>
      </c>
      <c r="U40">
        <v>22</v>
      </c>
      <c r="V40">
        <v>5</v>
      </c>
      <c r="W40">
        <v>10</v>
      </c>
      <c r="X40">
        <v>0</v>
      </c>
      <c r="Y40" s="15">
        <v>10.981818181818182</v>
      </c>
      <c r="AA40">
        <v>110</v>
      </c>
      <c r="AB40" s="25">
        <v>13.066666666666666</v>
      </c>
      <c r="AC40" s="25"/>
      <c r="AD40" s="25"/>
    </row>
    <row r="41" spans="1:31" x14ac:dyDescent="0.35">
      <c r="A41">
        <v>2</v>
      </c>
      <c r="B41" t="s">
        <v>118</v>
      </c>
      <c r="C41">
        <v>2</v>
      </c>
      <c r="D41" s="2" t="s">
        <v>104</v>
      </c>
      <c r="E41" t="s">
        <v>3</v>
      </c>
      <c r="F41">
        <v>4</v>
      </c>
      <c r="G41" t="s">
        <v>113</v>
      </c>
      <c r="H41" s="11" t="s">
        <v>2</v>
      </c>
      <c r="I41">
        <v>29</v>
      </c>
      <c r="J41">
        <v>11</v>
      </c>
      <c r="K41">
        <v>4</v>
      </c>
      <c r="L41">
        <v>3</v>
      </c>
      <c r="M41">
        <v>7</v>
      </c>
      <c r="N41">
        <v>8</v>
      </c>
      <c r="O41">
        <v>4</v>
      </c>
      <c r="P41">
        <v>7</v>
      </c>
      <c r="Q41">
        <v>6</v>
      </c>
      <c r="R41">
        <v>1</v>
      </c>
      <c r="S41">
        <v>2</v>
      </c>
      <c r="T41">
        <v>5</v>
      </c>
      <c r="U41">
        <v>1</v>
      </c>
      <c r="V41">
        <v>2</v>
      </c>
      <c r="W41">
        <v>0</v>
      </c>
      <c r="X41">
        <v>0</v>
      </c>
      <c r="Y41" s="15">
        <v>4.7666666666666666</v>
      </c>
      <c r="AA41">
        <v>90</v>
      </c>
      <c r="AB41" s="25">
        <v>13.066666666666666</v>
      </c>
      <c r="AC41" s="25"/>
      <c r="AD41" s="25"/>
    </row>
    <row r="42" spans="1:31" x14ac:dyDescent="0.35">
      <c r="A42">
        <v>2</v>
      </c>
      <c r="B42" t="s">
        <v>118</v>
      </c>
      <c r="C42">
        <v>2</v>
      </c>
      <c r="D42" s="2" t="s">
        <v>104</v>
      </c>
      <c r="E42" t="s">
        <v>3</v>
      </c>
      <c r="F42">
        <v>4</v>
      </c>
      <c r="G42" t="s">
        <v>1</v>
      </c>
      <c r="H42" s="11" t="s">
        <v>2</v>
      </c>
      <c r="I42">
        <v>18</v>
      </c>
      <c r="J42">
        <v>14</v>
      </c>
      <c r="K42">
        <v>18</v>
      </c>
      <c r="L42">
        <v>3</v>
      </c>
      <c r="M42">
        <v>14</v>
      </c>
      <c r="N42">
        <v>14</v>
      </c>
      <c r="O42">
        <v>6</v>
      </c>
      <c r="P42">
        <v>8</v>
      </c>
      <c r="Q42">
        <v>10</v>
      </c>
      <c r="R42">
        <v>0</v>
      </c>
      <c r="S42">
        <v>0</v>
      </c>
      <c r="T42">
        <v>2</v>
      </c>
      <c r="U42">
        <v>0</v>
      </c>
      <c r="V42">
        <v>2</v>
      </c>
      <c r="W42">
        <v>0</v>
      </c>
      <c r="X42">
        <v>0</v>
      </c>
      <c r="Y42" s="15">
        <v>4.7155963302752291</v>
      </c>
      <c r="AA42">
        <v>109</v>
      </c>
      <c r="AB42" s="25">
        <v>13.066666666666666</v>
      </c>
      <c r="AC42" s="25"/>
      <c r="AD42" s="25"/>
    </row>
    <row r="43" spans="1:31" x14ac:dyDescent="0.35">
      <c r="A43">
        <v>2</v>
      </c>
      <c r="B43" t="s">
        <v>118</v>
      </c>
      <c r="C43">
        <v>2</v>
      </c>
      <c r="D43" s="2" t="s">
        <v>104</v>
      </c>
      <c r="E43" t="s">
        <v>3</v>
      </c>
      <c r="F43">
        <v>4</v>
      </c>
      <c r="G43" t="s">
        <v>114</v>
      </c>
      <c r="H43" s="11" t="s">
        <v>0</v>
      </c>
      <c r="I43">
        <v>1</v>
      </c>
      <c r="J43">
        <v>10</v>
      </c>
      <c r="K43">
        <v>7</v>
      </c>
      <c r="L43">
        <v>6</v>
      </c>
      <c r="M43">
        <v>2</v>
      </c>
      <c r="N43">
        <v>2</v>
      </c>
      <c r="O43">
        <v>0</v>
      </c>
      <c r="P43">
        <v>12</v>
      </c>
      <c r="Q43">
        <v>8</v>
      </c>
      <c r="R43">
        <v>3</v>
      </c>
      <c r="S43">
        <v>1</v>
      </c>
      <c r="T43">
        <v>1</v>
      </c>
      <c r="U43">
        <v>0</v>
      </c>
      <c r="V43">
        <v>1</v>
      </c>
      <c r="W43">
        <v>0</v>
      </c>
      <c r="X43">
        <v>0</v>
      </c>
      <c r="Y43" s="15">
        <v>5.9814814814814818</v>
      </c>
      <c r="AA43">
        <v>54</v>
      </c>
      <c r="AB43" s="25">
        <v>13.066666666666666</v>
      </c>
      <c r="AC43" s="25"/>
      <c r="AD43" s="25"/>
    </row>
    <row r="44" spans="1:31" s="16" customFormat="1" x14ac:dyDescent="0.35">
      <c r="A44" s="16">
        <v>3</v>
      </c>
      <c r="B44" s="16" t="s">
        <v>117</v>
      </c>
      <c r="C44" s="16">
        <v>1</v>
      </c>
      <c r="D44" s="5" t="s">
        <v>104</v>
      </c>
      <c r="E44" s="16" t="s">
        <v>3</v>
      </c>
      <c r="F44" s="16">
        <v>2</v>
      </c>
      <c r="G44" s="16" t="s">
        <v>112</v>
      </c>
      <c r="H44" s="18" t="s">
        <v>2</v>
      </c>
      <c r="I44" s="16">
        <v>0</v>
      </c>
      <c r="J44" s="16">
        <v>0</v>
      </c>
      <c r="K44" s="16">
        <v>0</v>
      </c>
      <c r="L44" s="16">
        <v>0</v>
      </c>
      <c r="M44" s="16">
        <v>3</v>
      </c>
      <c r="N44" s="16">
        <v>1</v>
      </c>
      <c r="O44" s="16">
        <v>1</v>
      </c>
      <c r="P44" s="16">
        <v>5</v>
      </c>
      <c r="Q44" s="16">
        <v>5</v>
      </c>
      <c r="R44" s="16">
        <v>7</v>
      </c>
      <c r="S44" s="16">
        <v>5</v>
      </c>
      <c r="T44" s="16">
        <v>3</v>
      </c>
      <c r="U44" s="16">
        <v>4</v>
      </c>
      <c r="V44" s="16">
        <v>6</v>
      </c>
      <c r="W44" s="16">
        <v>16</v>
      </c>
      <c r="X44" s="16">
        <v>14</v>
      </c>
      <c r="Y44" s="19">
        <v>12.485714285714286</v>
      </c>
      <c r="AA44" s="16">
        <v>70</v>
      </c>
      <c r="AB44" s="24">
        <v>9.0833333333333321</v>
      </c>
      <c r="AC44" s="26"/>
      <c r="AD44" s="26"/>
      <c r="AE44" s="26"/>
    </row>
    <row r="45" spans="1:31" s="16" customFormat="1" x14ac:dyDescent="0.35">
      <c r="A45" s="16">
        <v>3</v>
      </c>
      <c r="B45" s="16" t="s">
        <v>117</v>
      </c>
      <c r="C45" s="16">
        <v>1</v>
      </c>
      <c r="D45" s="5" t="s">
        <v>104</v>
      </c>
      <c r="E45" s="16" t="s">
        <v>3</v>
      </c>
      <c r="F45" s="16">
        <v>2</v>
      </c>
      <c r="G45" s="16" t="s">
        <v>113</v>
      </c>
      <c r="H45" s="18" t="s">
        <v>0</v>
      </c>
      <c r="I45" s="16">
        <v>7</v>
      </c>
      <c r="J45" s="16">
        <v>3</v>
      </c>
      <c r="K45" s="16">
        <v>1</v>
      </c>
      <c r="L45" s="16">
        <v>1</v>
      </c>
      <c r="M45" s="16">
        <v>1</v>
      </c>
      <c r="N45" s="16">
        <v>5</v>
      </c>
      <c r="O45" s="16">
        <v>10</v>
      </c>
      <c r="P45" s="16">
        <v>7</v>
      </c>
      <c r="Q45" s="16">
        <v>7</v>
      </c>
      <c r="R45" s="16">
        <v>6</v>
      </c>
      <c r="S45" s="16">
        <v>8</v>
      </c>
      <c r="T45" s="16">
        <v>11</v>
      </c>
      <c r="U45" s="16">
        <v>7</v>
      </c>
      <c r="V45" s="16">
        <v>8</v>
      </c>
      <c r="W45" s="16">
        <v>8</v>
      </c>
      <c r="X45" s="16">
        <v>5</v>
      </c>
      <c r="Y45" s="19">
        <v>9.7578947368421058</v>
      </c>
      <c r="AA45" s="16">
        <v>95</v>
      </c>
      <c r="AB45" s="24">
        <v>9.0833333333333321</v>
      </c>
      <c r="AC45" s="26"/>
      <c r="AD45" s="26"/>
      <c r="AE45" s="26"/>
    </row>
    <row r="46" spans="1:31" s="16" customFormat="1" x14ac:dyDescent="0.35">
      <c r="A46" s="16">
        <v>3</v>
      </c>
      <c r="B46" s="16" t="s">
        <v>117</v>
      </c>
      <c r="C46" s="16">
        <v>1</v>
      </c>
      <c r="D46" s="5" t="s">
        <v>104</v>
      </c>
      <c r="E46" s="16" t="s">
        <v>3</v>
      </c>
      <c r="F46" s="16">
        <v>2</v>
      </c>
      <c r="G46" s="16" t="s">
        <v>1</v>
      </c>
      <c r="H46" s="18" t="s">
        <v>0</v>
      </c>
      <c r="I46" s="16">
        <v>0</v>
      </c>
      <c r="J46" s="16">
        <v>5</v>
      </c>
      <c r="K46" s="16">
        <v>5</v>
      </c>
      <c r="L46" s="16">
        <v>3</v>
      </c>
      <c r="M46" s="16">
        <v>4</v>
      </c>
      <c r="N46" s="16">
        <v>7</v>
      </c>
      <c r="O46" s="16">
        <v>6</v>
      </c>
      <c r="P46" s="16">
        <v>9</v>
      </c>
      <c r="Q46" s="16">
        <v>14</v>
      </c>
      <c r="R46" s="16">
        <v>7</v>
      </c>
      <c r="S46" s="16">
        <v>5</v>
      </c>
      <c r="T46" s="16">
        <v>5</v>
      </c>
      <c r="U46" s="16">
        <v>1</v>
      </c>
      <c r="V46" s="16">
        <v>1</v>
      </c>
      <c r="W46" s="16">
        <v>4</v>
      </c>
      <c r="X46" s="16">
        <v>4</v>
      </c>
      <c r="Y46" s="19">
        <v>8.4375</v>
      </c>
      <c r="AA46" s="16">
        <v>80</v>
      </c>
      <c r="AB46" s="24">
        <v>9.0833333333333321</v>
      </c>
      <c r="AC46" s="26"/>
      <c r="AD46" s="26"/>
      <c r="AE46" s="26"/>
    </row>
    <row r="47" spans="1:31" s="16" customFormat="1" x14ac:dyDescent="0.35">
      <c r="A47" s="16">
        <v>3</v>
      </c>
      <c r="B47" s="16" t="s">
        <v>117</v>
      </c>
      <c r="C47" s="16">
        <v>1</v>
      </c>
      <c r="D47" s="5" t="s">
        <v>104</v>
      </c>
      <c r="E47" s="16" t="s">
        <v>3</v>
      </c>
      <c r="F47" s="16">
        <v>2</v>
      </c>
      <c r="G47" s="16" t="s">
        <v>114</v>
      </c>
      <c r="H47" s="18" t="s">
        <v>2</v>
      </c>
      <c r="I47" s="16">
        <v>0</v>
      </c>
      <c r="J47" s="16">
        <v>5</v>
      </c>
      <c r="K47" s="16">
        <v>0</v>
      </c>
      <c r="L47" s="16">
        <v>4</v>
      </c>
      <c r="M47" s="16">
        <v>4</v>
      </c>
      <c r="N47" s="16">
        <v>2</v>
      </c>
      <c r="O47" s="16">
        <v>1</v>
      </c>
      <c r="P47" s="16">
        <v>7</v>
      </c>
      <c r="Q47" s="16">
        <v>5</v>
      </c>
      <c r="R47" s="16">
        <v>3</v>
      </c>
      <c r="S47" s="16">
        <v>6</v>
      </c>
      <c r="T47" s="16">
        <v>4</v>
      </c>
      <c r="U47" s="16">
        <v>1</v>
      </c>
      <c r="V47" s="16">
        <v>2</v>
      </c>
      <c r="W47" s="16">
        <v>3</v>
      </c>
      <c r="X47" s="16">
        <v>3</v>
      </c>
      <c r="Y47" s="19">
        <v>8.8800000000000008</v>
      </c>
      <c r="AA47" s="16">
        <v>50</v>
      </c>
      <c r="AB47" s="24">
        <v>9.0833333333333321</v>
      </c>
      <c r="AC47" s="26"/>
      <c r="AD47" s="26"/>
      <c r="AE47" s="26"/>
    </row>
    <row r="48" spans="1:31" s="16" customFormat="1" x14ac:dyDescent="0.35">
      <c r="A48" s="16">
        <v>3</v>
      </c>
      <c r="B48" s="16" t="s">
        <v>118</v>
      </c>
      <c r="C48" s="16">
        <v>1</v>
      </c>
      <c r="D48" s="5" t="s">
        <v>104</v>
      </c>
      <c r="E48" s="16" t="s">
        <v>3</v>
      </c>
      <c r="F48" s="16">
        <v>1</v>
      </c>
      <c r="G48" s="16" t="s">
        <v>112</v>
      </c>
      <c r="H48" s="18" t="s">
        <v>2</v>
      </c>
      <c r="I48" s="16">
        <v>0</v>
      </c>
      <c r="J48" s="16">
        <v>0</v>
      </c>
      <c r="K48" s="16">
        <v>0</v>
      </c>
      <c r="L48" s="16">
        <v>0</v>
      </c>
      <c r="M48" s="16">
        <v>1</v>
      </c>
      <c r="N48" s="16">
        <v>0</v>
      </c>
      <c r="O48" s="16">
        <v>2</v>
      </c>
      <c r="P48" s="16">
        <v>2</v>
      </c>
      <c r="Q48" s="16">
        <v>5</v>
      </c>
      <c r="R48" s="16">
        <v>5</v>
      </c>
      <c r="S48" s="16">
        <v>23</v>
      </c>
      <c r="T48" s="16">
        <v>17</v>
      </c>
      <c r="U48" s="16">
        <v>28</v>
      </c>
      <c r="V48" s="16">
        <v>9</v>
      </c>
      <c r="W48" s="16">
        <v>6</v>
      </c>
      <c r="X48" s="16">
        <v>0</v>
      </c>
      <c r="Y48" s="19">
        <v>11.908163265306122</v>
      </c>
      <c r="AA48" s="16">
        <v>98</v>
      </c>
      <c r="AB48" s="24">
        <v>11.666666666666666</v>
      </c>
      <c r="AC48" s="26"/>
      <c r="AD48" s="26"/>
      <c r="AE48" s="26"/>
    </row>
    <row r="49" spans="1:31" s="16" customFormat="1" x14ac:dyDescent="0.35">
      <c r="A49" s="16">
        <v>3</v>
      </c>
      <c r="B49" s="16" t="s">
        <v>118</v>
      </c>
      <c r="C49" s="16">
        <v>1</v>
      </c>
      <c r="D49" s="5" t="s">
        <v>104</v>
      </c>
      <c r="E49" s="16" t="s">
        <v>3</v>
      </c>
      <c r="F49" s="16">
        <v>1</v>
      </c>
      <c r="G49" s="16" t="s">
        <v>113</v>
      </c>
      <c r="H49" s="18" t="s">
        <v>0</v>
      </c>
      <c r="I49" s="16">
        <v>2</v>
      </c>
      <c r="J49" s="16">
        <v>1</v>
      </c>
      <c r="K49" s="16">
        <v>2</v>
      </c>
      <c r="L49" s="16">
        <v>6</v>
      </c>
      <c r="M49" s="16">
        <v>10</v>
      </c>
      <c r="N49" s="16">
        <v>10</v>
      </c>
      <c r="O49" s="16">
        <v>12</v>
      </c>
      <c r="P49" s="16">
        <v>12</v>
      </c>
      <c r="Q49" s="16">
        <v>7</v>
      </c>
      <c r="R49" s="16">
        <v>7</v>
      </c>
      <c r="S49" s="16">
        <v>3</v>
      </c>
      <c r="T49" s="16">
        <v>2</v>
      </c>
      <c r="U49" s="16">
        <v>4</v>
      </c>
      <c r="V49" s="16">
        <v>4</v>
      </c>
      <c r="W49" s="16">
        <v>3</v>
      </c>
      <c r="X49" s="16">
        <v>1</v>
      </c>
      <c r="Y49" s="19">
        <v>7.941860465116279</v>
      </c>
      <c r="AA49" s="16">
        <v>86</v>
      </c>
      <c r="AB49" s="24">
        <v>11.666666666666666</v>
      </c>
      <c r="AC49" s="26"/>
      <c r="AD49" s="26"/>
      <c r="AE49" s="26"/>
    </row>
    <row r="50" spans="1:31" s="16" customFormat="1" x14ac:dyDescent="0.35">
      <c r="A50" s="16">
        <v>3</v>
      </c>
      <c r="B50" s="16" t="s">
        <v>118</v>
      </c>
      <c r="C50" s="16">
        <v>1</v>
      </c>
      <c r="D50" s="5" t="s">
        <v>104</v>
      </c>
      <c r="E50" s="16" t="s">
        <v>3</v>
      </c>
      <c r="F50" s="16">
        <v>1</v>
      </c>
      <c r="G50" s="16" t="s">
        <v>1</v>
      </c>
      <c r="H50" s="18" t="s">
        <v>0</v>
      </c>
      <c r="I50" s="16">
        <v>18</v>
      </c>
      <c r="J50" s="16">
        <v>40</v>
      </c>
      <c r="K50" s="16">
        <v>17</v>
      </c>
      <c r="L50" s="16">
        <v>7</v>
      </c>
      <c r="M50" s="16">
        <v>12</v>
      </c>
      <c r="N50" s="16">
        <v>8</v>
      </c>
      <c r="O50" s="16">
        <v>3</v>
      </c>
      <c r="P50" s="16">
        <v>2</v>
      </c>
      <c r="Q50" s="16">
        <v>1</v>
      </c>
      <c r="R50" s="16">
        <v>0</v>
      </c>
      <c r="S50" s="16">
        <v>3</v>
      </c>
      <c r="T50" s="16">
        <v>1</v>
      </c>
      <c r="U50" s="16">
        <v>1</v>
      </c>
      <c r="V50" s="16">
        <v>0</v>
      </c>
      <c r="W50" s="16">
        <v>0</v>
      </c>
      <c r="X50" s="16">
        <v>1</v>
      </c>
      <c r="Y50" s="19">
        <v>3.5526315789473686</v>
      </c>
      <c r="AA50" s="16">
        <v>114</v>
      </c>
      <c r="AB50" s="24">
        <v>11.666666666666666</v>
      </c>
      <c r="AC50" s="26"/>
      <c r="AD50" s="26"/>
      <c r="AE50" s="26"/>
    </row>
    <row r="51" spans="1:31" s="16" customFormat="1" x14ac:dyDescent="0.35">
      <c r="A51" s="16">
        <v>3</v>
      </c>
      <c r="B51" s="16" t="s">
        <v>118</v>
      </c>
      <c r="C51" s="16">
        <v>1</v>
      </c>
      <c r="D51" s="5" t="s">
        <v>104</v>
      </c>
      <c r="E51" s="16" t="s">
        <v>3</v>
      </c>
      <c r="F51" s="16">
        <v>1</v>
      </c>
      <c r="G51" s="16" t="s">
        <v>114</v>
      </c>
      <c r="H51" s="18" t="s">
        <v>2</v>
      </c>
      <c r="I51" s="16">
        <v>1</v>
      </c>
      <c r="J51" s="16">
        <v>8</v>
      </c>
      <c r="K51" s="16">
        <v>3</v>
      </c>
      <c r="L51" s="16">
        <v>3</v>
      </c>
      <c r="M51" s="16">
        <v>6</v>
      </c>
      <c r="N51" s="16">
        <v>10</v>
      </c>
      <c r="O51" s="16">
        <v>4</v>
      </c>
      <c r="P51" s="16">
        <v>7</v>
      </c>
      <c r="Q51" s="16">
        <v>15</v>
      </c>
      <c r="R51" s="16">
        <v>7</v>
      </c>
      <c r="S51" s="16">
        <v>14</v>
      </c>
      <c r="T51" s="16">
        <v>7</v>
      </c>
      <c r="U51" s="16">
        <v>3</v>
      </c>
      <c r="V51" s="16">
        <v>4</v>
      </c>
      <c r="W51" s="16">
        <v>0</v>
      </c>
      <c r="X51" s="16">
        <v>1</v>
      </c>
      <c r="Y51" s="19">
        <v>8.236559139784946</v>
      </c>
      <c r="AA51" s="16">
        <v>93</v>
      </c>
      <c r="AB51" s="24">
        <v>11.666666666666666</v>
      </c>
      <c r="AC51" s="26"/>
      <c r="AD51" s="26"/>
      <c r="AE51" s="26"/>
    </row>
    <row r="52" spans="1:31" s="16" customFormat="1" x14ac:dyDescent="0.35">
      <c r="A52" s="16">
        <v>3</v>
      </c>
      <c r="B52" s="16" t="s">
        <v>117</v>
      </c>
      <c r="C52" s="16">
        <v>2</v>
      </c>
      <c r="D52" s="5" t="s">
        <v>104</v>
      </c>
      <c r="E52" s="16" t="s">
        <v>3</v>
      </c>
      <c r="F52" s="16">
        <v>4</v>
      </c>
      <c r="G52" s="16" t="s">
        <v>112</v>
      </c>
      <c r="H52" s="18" t="s">
        <v>2</v>
      </c>
      <c r="I52" s="16">
        <v>0</v>
      </c>
      <c r="J52" s="16">
        <v>0</v>
      </c>
      <c r="K52" s="16">
        <v>0</v>
      </c>
      <c r="L52" s="16">
        <v>1</v>
      </c>
      <c r="M52" s="16">
        <v>1</v>
      </c>
      <c r="N52" s="16">
        <v>0</v>
      </c>
      <c r="O52" s="16">
        <v>2</v>
      </c>
      <c r="P52" s="16">
        <v>2</v>
      </c>
      <c r="Q52" s="16">
        <v>5</v>
      </c>
      <c r="R52" s="16">
        <v>2</v>
      </c>
      <c r="S52" s="16">
        <v>4</v>
      </c>
      <c r="T52" s="16">
        <v>4</v>
      </c>
      <c r="U52" s="16">
        <v>6</v>
      </c>
      <c r="V52" s="16">
        <v>3</v>
      </c>
      <c r="W52" s="16">
        <v>17</v>
      </c>
      <c r="X52" s="16">
        <v>13</v>
      </c>
      <c r="Y52" s="19">
        <v>12.983333333333333</v>
      </c>
      <c r="AA52" s="16">
        <v>60</v>
      </c>
      <c r="AB52" s="24">
        <v>9</v>
      </c>
      <c r="AC52" s="26"/>
      <c r="AD52" s="26"/>
      <c r="AE52" s="26"/>
    </row>
    <row r="53" spans="1:31" s="16" customFormat="1" x14ac:dyDescent="0.35">
      <c r="A53" s="16">
        <v>3</v>
      </c>
      <c r="B53" s="16" t="s">
        <v>117</v>
      </c>
      <c r="C53" s="16">
        <v>2</v>
      </c>
      <c r="D53" s="5" t="s">
        <v>104</v>
      </c>
      <c r="E53" s="16" t="s">
        <v>3</v>
      </c>
      <c r="F53" s="16">
        <v>4</v>
      </c>
      <c r="G53" s="16" t="s">
        <v>113</v>
      </c>
      <c r="H53" s="18" t="s">
        <v>0</v>
      </c>
      <c r="I53" s="16">
        <v>3</v>
      </c>
      <c r="J53" s="16">
        <v>3</v>
      </c>
      <c r="K53" s="16">
        <v>6</v>
      </c>
      <c r="L53" s="16">
        <v>1</v>
      </c>
      <c r="M53" s="16">
        <v>3</v>
      </c>
      <c r="N53" s="16">
        <v>3</v>
      </c>
      <c r="O53" s="16">
        <v>13</v>
      </c>
      <c r="P53" s="16">
        <v>10</v>
      </c>
      <c r="Q53" s="16">
        <v>4</v>
      </c>
      <c r="R53" s="16">
        <v>7</v>
      </c>
      <c r="S53" s="16">
        <v>8</v>
      </c>
      <c r="T53" s="16">
        <v>9</v>
      </c>
      <c r="U53" s="16">
        <v>5</v>
      </c>
      <c r="V53" s="16">
        <v>4</v>
      </c>
      <c r="W53" s="16">
        <v>5</v>
      </c>
      <c r="X53" s="16">
        <v>3</v>
      </c>
      <c r="Y53" s="19">
        <v>8.9770114942528743</v>
      </c>
      <c r="AA53" s="16">
        <v>87</v>
      </c>
      <c r="AB53" s="24">
        <v>9</v>
      </c>
      <c r="AC53" s="26"/>
      <c r="AD53" s="26"/>
      <c r="AE53" s="26"/>
    </row>
    <row r="54" spans="1:31" s="16" customFormat="1" x14ac:dyDescent="0.35">
      <c r="A54" s="16">
        <v>3</v>
      </c>
      <c r="B54" s="16" t="s">
        <v>117</v>
      </c>
      <c r="C54" s="16">
        <v>2</v>
      </c>
      <c r="D54" s="5" t="s">
        <v>104</v>
      </c>
      <c r="E54" s="16" t="s">
        <v>3</v>
      </c>
      <c r="F54" s="16">
        <v>4</v>
      </c>
      <c r="G54" s="16" t="s">
        <v>1</v>
      </c>
      <c r="H54" s="18" t="s">
        <v>0</v>
      </c>
      <c r="I54" s="16">
        <v>5</v>
      </c>
      <c r="J54" s="16">
        <v>8</v>
      </c>
      <c r="K54" s="16">
        <v>11</v>
      </c>
      <c r="L54" s="16">
        <v>4</v>
      </c>
      <c r="M54" s="16">
        <v>6</v>
      </c>
      <c r="N54" s="16">
        <v>18</v>
      </c>
      <c r="O54" s="16">
        <v>1</v>
      </c>
      <c r="P54" s="16">
        <v>15</v>
      </c>
      <c r="Q54" s="16">
        <v>13</v>
      </c>
      <c r="R54" s="16">
        <v>4</v>
      </c>
      <c r="S54" s="16">
        <v>17</v>
      </c>
      <c r="T54" s="16">
        <v>2</v>
      </c>
      <c r="U54" s="16">
        <v>4</v>
      </c>
      <c r="V54" s="16">
        <v>0</v>
      </c>
      <c r="W54" s="16">
        <v>1</v>
      </c>
      <c r="X54" s="16">
        <v>3</v>
      </c>
      <c r="Y54" s="19">
        <v>7.3035714285714288</v>
      </c>
      <c r="AA54" s="16">
        <v>112</v>
      </c>
      <c r="AB54" s="24">
        <v>9</v>
      </c>
      <c r="AC54" s="26"/>
      <c r="AD54" s="26"/>
      <c r="AE54" s="26"/>
    </row>
    <row r="55" spans="1:31" s="16" customFormat="1" x14ac:dyDescent="0.35">
      <c r="A55" s="16">
        <v>3</v>
      </c>
      <c r="B55" s="16" t="s">
        <v>117</v>
      </c>
      <c r="C55" s="16">
        <v>2</v>
      </c>
      <c r="D55" s="5" t="s">
        <v>104</v>
      </c>
      <c r="E55" s="16" t="s">
        <v>3</v>
      </c>
      <c r="F55" s="16">
        <v>4</v>
      </c>
      <c r="G55" s="16" t="s">
        <v>114</v>
      </c>
      <c r="H55" s="18" t="s">
        <v>2</v>
      </c>
      <c r="I55" s="16">
        <v>0</v>
      </c>
      <c r="J55" s="16">
        <v>3</v>
      </c>
      <c r="K55" s="16">
        <v>2</v>
      </c>
      <c r="L55" s="16">
        <v>3</v>
      </c>
      <c r="M55" s="16">
        <v>5</v>
      </c>
      <c r="N55" s="16">
        <v>0</v>
      </c>
      <c r="O55" s="16">
        <v>3</v>
      </c>
      <c r="P55" s="16">
        <v>8</v>
      </c>
      <c r="Q55" s="16">
        <v>4</v>
      </c>
      <c r="R55" s="16">
        <v>4</v>
      </c>
      <c r="S55" s="16">
        <v>0</v>
      </c>
      <c r="T55" s="16">
        <v>1</v>
      </c>
      <c r="U55" s="16">
        <v>0</v>
      </c>
      <c r="V55" s="16">
        <v>1</v>
      </c>
      <c r="W55" s="16">
        <v>1</v>
      </c>
      <c r="X55" s="16">
        <v>0</v>
      </c>
      <c r="Y55" s="19">
        <v>7.1714285714285717</v>
      </c>
      <c r="AA55" s="16">
        <v>35</v>
      </c>
      <c r="AB55" s="24">
        <v>9</v>
      </c>
      <c r="AC55" s="26"/>
      <c r="AD55" s="26"/>
      <c r="AE55" s="26"/>
    </row>
    <row r="56" spans="1:31" s="16" customFormat="1" x14ac:dyDescent="0.35">
      <c r="A56" s="16">
        <v>3</v>
      </c>
      <c r="B56" s="16" t="s">
        <v>118</v>
      </c>
      <c r="C56" s="16">
        <v>2</v>
      </c>
      <c r="D56" s="5" t="s">
        <v>104</v>
      </c>
      <c r="E56" s="16" t="s">
        <v>3</v>
      </c>
      <c r="F56" s="16">
        <v>3</v>
      </c>
      <c r="G56" s="16" t="s">
        <v>112</v>
      </c>
      <c r="H56" s="18" t="s">
        <v>2</v>
      </c>
      <c r="I56" s="16">
        <v>0</v>
      </c>
      <c r="J56" s="16">
        <v>0</v>
      </c>
      <c r="K56" s="16">
        <v>0</v>
      </c>
      <c r="L56" s="16">
        <v>1</v>
      </c>
      <c r="M56" s="16">
        <v>5</v>
      </c>
      <c r="N56" s="16">
        <v>8</v>
      </c>
      <c r="O56" s="16">
        <v>14</v>
      </c>
      <c r="P56" s="16">
        <v>13</v>
      </c>
      <c r="Q56" s="16">
        <v>9</v>
      </c>
      <c r="R56" s="16">
        <v>5</v>
      </c>
      <c r="S56" s="16">
        <v>5</v>
      </c>
      <c r="T56" s="16">
        <v>0</v>
      </c>
      <c r="U56" s="16">
        <v>1</v>
      </c>
      <c r="V56" s="16">
        <v>4</v>
      </c>
      <c r="W56" s="16">
        <v>14</v>
      </c>
      <c r="X56" s="16">
        <v>4</v>
      </c>
      <c r="Y56" s="19">
        <v>9.7349397590361448</v>
      </c>
      <c r="AA56" s="16">
        <v>83</v>
      </c>
      <c r="AB56" s="24">
        <v>12.55</v>
      </c>
      <c r="AC56" s="26"/>
      <c r="AD56" s="26"/>
      <c r="AE56" s="26"/>
    </row>
    <row r="57" spans="1:31" s="16" customFormat="1" x14ac:dyDescent="0.35">
      <c r="A57" s="16">
        <v>3</v>
      </c>
      <c r="B57" s="16" t="s">
        <v>118</v>
      </c>
      <c r="C57" s="16">
        <v>2</v>
      </c>
      <c r="D57" s="5" t="s">
        <v>104</v>
      </c>
      <c r="E57" s="16" t="s">
        <v>3</v>
      </c>
      <c r="F57" s="16">
        <v>3</v>
      </c>
      <c r="G57" s="16" t="s">
        <v>113</v>
      </c>
      <c r="H57" s="18" t="s">
        <v>0</v>
      </c>
      <c r="I57" s="16">
        <v>15</v>
      </c>
      <c r="J57" s="16">
        <v>13</v>
      </c>
      <c r="K57" s="16">
        <v>11</v>
      </c>
      <c r="L57" s="16">
        <v>13</v>
      </c>
      <c r="M57" s="16">
        <v>10</v>
      </c>
      <c r="N57" s="16">
        <v>7</v>
      </c>
      <c r="O57" s="16">
        <v>6</v>
      </c>
      <c r="P57" s="16">
        <v>7</v>
      </c>
      <c r="Q57" s="16">
        <v>3</v>
      </c>
      <c r="R57" s="16">
        <v>4</v>
      </c>
      <c r="S57" s="16">
        <v>5</v>
      </c>
      <c r="T57" s="16">
        <v>1</v>
      </c>
      <c r="U57" s="16">
        <v>0</v>
      </c>
      <c r="V57" s="16">
        <v>1</v>
      </c>
      <c r="W57" s="16">
        <v>15</v>
      </c>
      <c r="X57" s="16">
        <v>16</v>
      </c>
      <c r="Y57" s="19">
        <v>7.4409448818897639</v>
      </c>
      <c r="AA57" s="16">
        <v>127</v>
      </c>
      <c r="AB57" s="24">
        <v>12.55</v>
      </c>
      <c r="AC57" s="26"/>
      <c r="AD57" s="26"/>
      <c r="AE57" s="26"/>
    </row>
    <row r="58" spans="1:31" s="16" customFormat="1" x14ac:dyDescent="0.35">
      <c r="A58" s="16">
        <v>3</v>
      </c>
      <c r="B58" s="16" t="s">
        <v>118</v>
      </c>
      <c r="C58" s="16">
        <v>2</v>
      </c>
      <c r="D58" s="5" t="s">
        <v>104</v>
      </c>
      <c r="E58" s="16" t="s">
        <v>3</v>
      </c>
      <c r="F58" s="16">
        <v>3</v>
      </c>
      <c r="G58" s="16" t="s">
        <v>1</v>
      </c>
      <c r="H58" s="18" t="s">
        <v>0</v>
      </c>
      <c r="I58" s="16">
        <v>14</v>
      </c>
      <c r="J58" s="16">
        <v>15</v>
      </c>
      <c r="K58" s="16">
        <v>20</v>
      </c>
      <c r="L58" s="16">
        <v>5</v>
      </c>
      <c r="M58" s="16">
        <v>11</v>
      </c>
      <c r="N58" s="16">
        <v>22</v>
      </c>
      <c r="O58" s="16">
        <v>3</v>
      </c>
      <c r="P58" s="16">
        <v>10</v>
      </c>
      <c r="Q58" s="16">
        <v>3</v>
      </c>
      <c r="R58" s="16">
        <v>1</v>
      </c>
      <c r="S58" s="16">
        <v>3</v>
      </c>
      <c r="T58" s="16">
        <v>2</v>
      </c>
      <c r="U58" s="16">
        <v>1</v>
      </c>
      <c r="V58" s="16">
        <v>1</v>
      </c>
      <c r="W58" s="16">
        <v>0</v>
      </c>
      <c r="X58" s="16">
        <v>0</v>
      </c>
      <c r="Y58" s="19">
        <v>4.801801801801802</v>
      </c>
      <c r="AA58" s="16">
        <v>111</v>
      </c>
      <c r="AB58" s="24">
        <v>12.55</v>
      </c>
      <c r="AC58" s="26"/>
      <c r="AD58" s="26"/>
      <c r="AE58" s="26"/>
    </row>
    <row r="59" spans="1:31" s="16" customFormat="1" x14ac:dyDescent="0.35">
      <c r="A59" s="16">
        <v>3</v>
      </c>
      <c r="B59" s="16" t="s">
        <v>118</v>
      </c>
      <c r="C59" s="16">
        <v>2</v>
      </c>
      <c r="D59" s="5" t="s">
        <v>104</v>
      </c>
      <c r="E59" s="16" t="s">
        <v>3</v>
      </c>
      <c r="F59" s="16">
        <v>3</v>
      </c>
      <c r="G59" s="16" t="s">
        <v>114</v>
      </c>
      <c r="H59" s="18" t="s">
        <v>2</v>
      </c>
      <c r="I59" s="16">
        <v>7</v>
      </c>
      <c r="J59" s="16">
        <v>15</v>
      </c>
      <c r="K59" s="16">
        <v>4</v>
      </c>
      <c r="L59" s="16">
        <v>9</v>
      </c>
      <c r="M59" s="16">
        <v>9</v>
      </c>
      <c r="N59" s="16">
        <v>5</v>
      </c>
      <c r="O59" s="16">
        <v>3</v>
      </c>
      <c r="P59" s="16">
        <v>12</v>
      </c>
      <c r="Q59" s="16">
        <v>3</v>
      </c>
      <c r="R59" s="16">
        <v>5</v>
      </c>
      <c r="S59" s="16">
        <v>4</v>
      </c>
      <c r="T59" s="16">
        <v>3</v>
      </c>
      <c r="U59" s="16">
        <v>1</v>
      </c>
      <c r="V59" s="16">
        <v>2</v>
      </c>
      <c r="W59" s="16">
        <v>0</v>
      </c>
      <c r="X59" s="16">
        <v>0</v>
      </c>
      <c r="Y59" s="19">
        <v>5.7926829268292686</v>
      </c>
      <c r="AA59" s="16">
        <v>82</v>
      </c>
      <c r="AB59" s="24">
        <v>12.55</v>
      </c>
      <c r="AC59" s="26"/>
      <c r="AD59" s="26"/>
      <c r="AE59" s="26"/>
    </row>
    <row r="60" spans="1:31" x14ac:dyDescent="0.35">
      <c r="A60">
        <v>4</v>
      </c>
      <c r="B60" t="s">
        <v>117</v>
      </c>
      <c r="C60">
        <v>1</v>
      </c>
      <c r="D60" s="2" t="s">
        <v>104</v>
      </c>
      <c r="E60" t="s">
        <v>3</v>
      </c>
      <c r="F60">
        <v>1</v>
      </c>
      <c r="G60" t="s">
        <v>112</v>
      </c>
      <c r="H60" s="11" t="s">
        <v>0</v>
      </c>
      <c r="I60">
        <v>0</v>
      </c>
      <c r="J60">
        <v>1</v>
      </c>
      <c r="K60">
        <v>0</v>
      </c>
      <c r="L60">
        <v>0</v>
      </c>
      <c r="M60">
        <v>3</v>
      </c>
      <c r="N60">
        <v>2</v>
      </c>
      <c r="O60">
        <v>5</v>
      </c>
      <c r="P60">
        <v>14</v>
      </c>
      <c r="Q60">
        <v>9</v>
      </c>
      <c r="R60">
        <v>5</v>
      </c>
      <c r="S60">
        <v>10</v>
      </c>
      <c r="T60">
        <v>2</v>
      </c>
      <c r="U60">
        <v>0</v>
      </c>
      <c r="V60">
        <v>5</v>
      </c>
      <c r="W60">
        <v>3</v>
      </c>
      <c r="X60">
        <v>1</v>
      </c>
      <c r="Y60" s="15">
        <v>9.5333333333333332</v>
      </c>
      <c r="Z60">
        <v>120</v>
      </c>
      <c r="AA60">
        <v>60</v>
      </c>
      <c r="AB60" s="25">
        <v>10.666666666666666</v>
      </c>
      <c r="AC60" s="25"/>
      <c r="AD60" s="25"/>
      <c r="AE60" s="25">
        <f>Table3[[#This Row],[flies_out]]/Table3[[#This Row],[flies_in]]</f>
        <v>0.5</v>
      </c>
    </row>
    <row r="61" spans="1:31" x14ac:dyDescent="0.35">
      <c r="A61">
        <v>4</v>
      </c>
      <c r="B61" t="s">
        <v>117</v>
      </c>
      <c r="C61">
        <v>1</v>
      </c>
      <c r="D61" s="2" t="s">
        <v>104</v>
      </c>
      <c r="E61" t="s">
        <v>3</v>
      </c>
      <c r="F61">
        <v>1</v>
      </c>
      <c r="G61" t="s">
        <v>113</v>
      </c>
      <c r="H61" s="11" t="s">
        <v>2</v>
      </c>
      <c r="I61">
        <v>2</v>
      </c>
      <c r="J61">
        <v>2</v>
      </c>
      <c r="K61">
        <v>0</v>
      </c>
      <c r="L61">
        <v>1</v>
      </c>
      <c r="M61">
        <v>0</v>
      </c>
      <c r="N61">
        <v>1</v>
      </c>
      <c r="O61">
        <v>9</v>
      </c>
      <c r="P61">
        <v>6</v>
      </c>
      <c r="Q61">
        <v>4</v>
      </c>
      <c r="R61">
        <v>5</v>
      </c>
      <c r="S61">
        <v>0</v>
      </c>
      <c r="T61">
        <v>5</v>
      </c>
      <c r="U61">
        <v>5</v>
      </c>
      <c r="V61">
        <v>5</v>
      </c>
      <c r="W61">
        <v>9</v>
      </c>
      <c r="X61">
        <v>11</v>
      </c>
      <c r="Y61" s="15">
        <v>11.061538461538461</v>
      </c>
      <c r="Z61">
        <v>120</v>
      </c>
      <c r="AA61">
        <v>65</v>
      </c>
      <c r="AB61" s="25">
        <v>10.666666666666666</v>
      </c>
      <c r="AC61" s="25"/>
      <c r="AD61" s="25"/>
      <c r="AE61" s="25">
        <f>Table3[[#This Row],[flies_out]]/Table3[[#This Row],[flies_in]]</f>
        <v>0.54166666666666663</v>
      </c>
    </row>
    <row r="62" spans="1:31" x14ac:dyDescent="0.35">
      <c r="A62">
        <v>4</v>
      </c>
      <c r="B62" t="s">
        <v>117</v>
      </c>
      <c r="C62">
        <v>1</v>
      </c>
      <c r="D62" s="2" t="s">
        <v>104</v>
      </c>
      <c r="E62" t="s">
        <v>3</v>
      </c>
      <c r="F62">
        <v>1</v>
      </c>
      <c r="G62" t="s">
        <v>1</v>
      </c>
      <c r="H62" s="11" t="s">
        <v>2</v>
      </c>
      <c r="I62">
        <v>4</v>
      </c>
      <c r="J62">
        <v>6</v>
      </c>
      <c r="K62">
        <v>13</v>
      </c>
      <c r="L62">
        <v>4</v>
      </c>
      <c r="M62">
        <v>5</v>
      </c>
      <c r="N62">
        <v>9</v>
      </c>
      <c r="O62">
        <v>4</v>
      </c>
      <c r="P62">
        <v>6</v>
      </c>
      <c r="Q62">
        <v>14</v>
      </c>
      <c r="R62">
        <v>3</v>
      </c>
      <c r="S62">
        <v>7</v>
      </c>
      <c r="T62">
        <v>1</v>
      </c>
      <c r="U62">
        <v>0</v>
      </c>
      <c r="V62">
        <v>2</v>
      </c>
      <c r="W62">
        <v>1</v>
      </c>
      <c r="X62">
        <v>0</v>
      </c>
      <c r="Y62" s="15">
        <v>6.5063291139240507</v>
      </c>
      <c r="Z62">
        <v>120</v>
      </c>
      <c r="AA62">
        <v>79</v>
      </c>
      <c r="AB62" s="25">
        <v>10.666666666666666</v>
      </c>
      <c r="AC62" s="25"/>
      <c r="AD62" s="25"/>
      <c r="AE62" s="25">
        <f>Table3[[#This Row],[flies_out]]/Table3[[#This Row],[flies_in]]</f>
        <v>0.65833333333333333</v>
      </c>
    </row>
    <row r="63" spans="1:31" x14ac:dyDescent="0.35">
      <c r="A63">
        <v>4</v>
      </c>
      <c r="B63" t="s">
        <v>117</v>
      </c>
      <c r="C63">
        <v>1</v>
      </c>
      <c r="D63" s="2" t="s">
        <v>104</v>
      </c>
      <c r="E63" t="s">
        <v>3</v>
      </c>
      <c r="F63">
        <v>1</v>
      </c>
      <c r="G63" t="s">
        <v>114</v>
      </c>
      <c r="H63" s="11" t="s">
        <v>0</v>
      </c>
      <c r="I63">
        <v>3</v>
      </c>
      <c r="J63">
        <v>6</v>
      </c>
      <c r="K63">
        <v>2</v>
      </c>
      <c r="L63">
        <v>12</v>
      </c>
      <c r="M63">
        <v>4</v>
      </c>
      <c r="N63">
        <v>10</v>
      </c>
      <c r="O63">
        <v>1</v>
      </c>
      <c r="P63">
        <v>13</v>
      </c>
      <c r="Q63">
        <v>10</v>
      </c>
      <c r="R63">
        <v>3</v>
      </c>
      <c r="S63">
        <v>2</v>
      </c>
      <c r="T63">
        <v>3</v>
      </c>
      <c r="U63">
        <v>3</v>
      </c>
      <c r="V63">
        <v>3</v>
      </c>
      <c r="W63">
        <v>1</v>
      </c>
      <c r="X63">
        <v>0</v>
      </c>
      <c r="Y63" s="15">
        <v>7.0263157894736841</v>
      </c>
      <c r="Z63">
        <v>120</v>
      </c>
      <c r="AA63">
        <v>76</v>
      </c>
      <c r="AB63" s="25">
        <v>10.666666666666666</v>
      </c>
      <c r="AC63" s="25"/>
      <c r="AD63" s="25"/>
      <c r="AE63" s="25">
        <f>Table3[[#This Row],[flies_out]]/Table3[[#This Row],[flies_in]]</f>
        <v>0.6333333333333333</v>
      </c>
    </row>
    <row r="64" spans="1:31" x14ac:dyDescent="0.35">
      <c r="A64">
        <v>4</v>
      </c>
      <c r="B64" t="s">
        <v>118</v>
      </c>
      <c r="C64">
        <v>1</v>
      </c>
      <c r="D64" s="2" t="s">
        <v>104</v>
      </c>
      <c r="E64" t="s">
        <v>3</v>
      </c>
      <c r="F64">
        <v>2</v>
      </c>
      <c r="G64" t="s">
        <v>112</v>
      </c>
      <c r="H64" s="11" t="s">
        <v>0</v>
      </c>
      <c r="I64">
        <v>1</v>
      </c>
      <c r="J64">
        <v>0</v>
      </c>
      <c r="K64">
        <v>0</v>
      </c>
      <c r="L64">
        <v>2</v>
      </c>
      <c r="M64">
        <v>1</v>
      </c>
      <c r="N64">
        <v>1</v>
      </c>
      <c r="O64">
        <v>1</v>
      </c>
      <c r="P64">
        <v>5</v>
      </c>
      <c r="Q64">
        <v>3</v>
      </c>
      <c r="R64">
        <v>5</v>
      </c>
      <c r="S64">
        <v>6</v>
      </c>
      <c r="T64">
        <v>8</v>
      </c>
      <c r="U64">
        <v>9</v>
      </c>
      <c r="V64">
        <v>11</v>
      </c>
      <c r="W64">
        <v>12</v>
      </c>
      <c r="X64">
        <v>13</v>
      </c>
      <c r="Y64" s="15">
        <v>12.371794871794872</v>
      </c>
      <c r="Z64">
        <v>120</v>
      </c>
      <c r="AA64">
        <v>78</v>
      </c>
      <c r="AB64" s="25">
        <v>14.25</v>
      </c>
      <c r="AC64" s="25"/>
      <c r="AD64" s="25"/>
      <c r="AE64" s="25">
        <f>Table3[[#This Row],[flies_out]]/Table3[[#This Row],[flies_in]]</f>
        <v>0.65</v>
      </c>
    </row>
    <row r="65" spans="1:31" x14ac:dyDescent="0.35">
      <c r="A65">
        <v>4</v>
      </c>
      <c r="B65" t="s">
        <v>118</v>
      </c>
      <c r="C65">
        <v>1</v>
      </c>
      <c r="D65" s="2" t="s">
        <v>104</v>
      </c>
      <c r="E65" t="s">
        <v>3</v>
      </c>
      <c r="F65">
        <v>2</v>
      </c>
      <c r="G65" t="s">
        <v>113</v>
      </c>
      <c r="H65" s="11" t="s">
        <v>2</v>
      </c>
      <c r="I65">
        <v>3</v>
      </c>
      <c r="J65">
        <v>5</v>
      </c>
      <c r="K65">
        <v>5</v>
      </c>
      <c r="L65">
        <v>1</v>
      </c>
      <c r="M65">
        <v>3</v>
      </c>
      <c r="N65">
        <v>2</v>
      </c>
      <c r="O65">
        <v>4</v>
      </c>
      <c r="P65">
        <v>2</v>
      </c>
      <c r="Q65">
        <v>10</v>
      </c>
      <c r="R65">
        <v>5</v>
      </c>
      <c r="S65">
        <v>3</v>
      </c>
      <c r="T65">
        <v>8</v>
      </c>
      <c r="U65">
        <v>4</v>
      </c>
      <c r="V65">
        <v>5</v>
      </c>
      <c r="W65">
        <v>5</v>
      </c>
      <c r="X65">
        <v>6</v>
      </c>
      <c r="Y65" s="15">
        <v>9.3661971830985919</v>
      </c>
      <c r="Z65">
        <v>120</v>
      </c>
      <c r="AA65">
        <v>71</v>
      </c>
      <c r="AB65" s="25">
        <v>14.25</v>
      </c>
      <c r="AC65" s="25"/>
      <c r="AD65" s="25"/>
      <c r="AE65" s="25">
        <f>Table3[[#This Row],[flies_out]]/Table3[[#This Row],[flies_in]]</f>
        <v>0.59166666666666667</v>
      </c>
    </row>
    <row r="66" spans="1:31" x14ac:dyDescent="0.35">
      <c r="A66">
        <v>4</v>
      </c>
      <c r="B66" t="s">
        <v>118</v>
      </c>
      <c r="C66">
        <v>1</v>
      </c>
      <c r="D66" s="2" t="s">
        <v>104</v>
      </c>
      <c r="E66" t="s">
        <v>3</v>
      </c>
      <c r="F66">
        <v>2</v>
      </c>
      <c r="G66" t="s">
        <v>1</v>
      </c>
      <c r="H66" s="11" t="s">
        <v>2</v>
      </c>
      <c r="I66">
        <v>29</v>
      </c>
      <c r="J66">
        <v>21</v>
      </c>
      <c r="K66">
        <v>9</v>
      </c>
      <c r="L66">
        <v>9</v>
      </c>
      <c r="M66">
        <v>9</v>
      </c>
      <c r="N66">
        <v>4</v>
      </c>
      <c r="O66">
        <v>2</v>
      </c>
      <c r="P66">
        <v>4</v>
      </c>
      <c r="Q66">
        <v>3</v>
      </c>
      <c r="R66">
        <v>2</v>
      </c>
      <c r="S66">
        <v>0</v>
      </c>
      <c r="T66">
        <v>2</v>
      </c>
      <c r="U66">
        <v>0</v>
      </c>
      <c r="V66">
        <v>0</v>
      </c>
      <c r="W66">
        <v>1</v>
      </c>
      <c r="X66">
        <v>0</v>
      </c>
      <c r="Y66" s="15">
        <v>3.5263157894736841</v>
      </c>
      <c r="Z66">
        <v>120</v>
      </c>
      <c r="AA66">
        <v>95</v>
      </c>
      <c r="AB66" s="25">
        <v>14.25</v>
      </c>
      <c r="AC66" s="25"/>
      <c r="AD66" s="25"/>
      <c r="AE66" s="25">
        <f>Table3[[#This Row],[flies_out]]/Table3[[#This Row],[flies_in]]</f>
        <v>0.79166666666666663</v>
      </c>
    </row>
    <row r="67" spans="1:31" x14ac:dyDescent="0.35">
      <c r="A67">
        <v>4</v>
      </c>
      <c r="B67" t="s">
        <v>118</v>
      </c>
      <c r="C67">
        <v>1</v>
      </c>
      <c r="D67" s="2" t="s">
        <v>104</v>
      </c>
      <c r="E67" t="s">
        <v>3</v>
      </c>
      <c r="F67">
        <v>2</v>
      </c>
      <c r="G67" t="s">
        <v>114</v>
      </c>
      <c r="H67" s="11" t="s">
        <v>0</v>
      </c>
      <c r="I67">
        <v>3</v>
      </c>
      <c r="J67">
        <v>3</v>
      </c>
      <c r="K67">
        <v>9</v>
      </c>
      <c r="L67">
        <v>6</v>
      </c>
      <c r="M67">
        <v>4</v>
      </c>
      <c r="N67">
        <v>17</v>
      </c>
      <c r="O67">
        <v>2</v>
      </c>
      <c r="P67">
        <v>8</v>
      </c>
      <c r="Q67">
        <v>15</v>
      </c>
      <c r="R67">
        <v>13</v>
      </c>
      <c r="S67">
        <v>9</v>
      </c>
      <c r="T67">
        <v>5</v>
      </c>
      <c r="U67">
        <v>10</v>
      </c>
      <c r="V67">
        <v>3</v>
      </c>
      <c r="W67">
        <v>0</v>
      </c>
      <c r="X67">
        <v>0</v>
      </c>
      <c r="Y67" s="15">
        <v>8</v>
      </c>
      <c r="Z67">
        <v>120</v>
      </c>
      <c r="AA67">
        <v>107</v>
      </c>
      <c r="AB67" s="25">
        <v>14.25</v>
      </c>
      <c r="AC67" s="25"/>
      <c r="AD67" s="25"/>
      <c r="AE67" s="25">
        <f>Table3[[#This Row],[flies_out]]/Table3[[#This Row],[flies_in]]</f>
        <v>0.89166666666666672</v>
      </c>
    </row>
    <row r="68" spans="1:31" x14ac:dyDescent="0.35">
      <c r="A68">
        <v>4</v>
      </c>
      <c r="B68" t="s">
        <v>117</v>
      </c>
      <c r="C68">
        <v>2</v>
      </c>
      <c r="D68" s="2" t="s">
        <v>104</v>
      </c>
      <c r="E68" t="s">
        <v>3</v>
      </c>
      <c r="F68">
        <v>3</v>
      </c>
      <c r="G68" t="s">
        <v>112</v>
      </c>
      <c r="H68" s="11" t="s">
        <v>0</v>
      </c>
      <c r="I68">
        <v>0</v>
      </c>
      <c r="J68">
        <v>1</v>
      </c>
      <c r="K68">
        <v>0</v>
      </c>
      <c r="L68">
        <v>0</v>
      </c>
      <c r="M68">
        <v>2</v>
      </c>
      <c r="N68">
        <v>6</v>
      </c>
      <c r="O68">
        <v>7</v>
      </c>
      <c r="P68">
        <v>22</v>
      </c>
      <c r="Q68">
        <v>4</v>
      </c>
      <c r="R68">
        <v>10</v>
      </c>
      <c r="S68">
        <v>2</v>
      </c>
      <c r="T68">
        <v>10</v>
      </c>
      <c r="U68">
        <v>3</v>
      </c>
      <c r="V68">
        <v>11</v>
      </c>
      <c r="W68">
        <v>3</v>
      </c>
      <c r="X68">
        <v>5</v>
      </c>
      <c r="Y68" s="15">
        <v>10.104651162790697</v>
      </c>
      <c r="Z68">
        <v>120</v>
      </c>
      <c r="AA68">
        <v>86</v>
      </c>
      <c r="AB68" s="25">
        <v>9.9500000000000011</v>
      </c>
      <c r="AC68" s="25"/>
      <c r="AD68" s="25"/>
      <c r="AE68" s="25">
        <f>Table3[[#This Row],[flies_out]]/Table3[[#This Row],[flies_in]]</f>
        <v>0.71666666666666667</v>
      </c>
    </row>
    <row r="69" spans="1:31" x14ac:dyDescent="0.35">
      <c r="A69">
        <v>4</v>
      </c>
      <c r="B69" t="s">
        <v>117</v>
      </c>
      <c r="C69">
        <v>2</v>
      </c>
      <c r="D69" s="2" t="s">
        <v>104</v>
      </c>
      <c r="E69" t="s">
        <v>3</v>
      </c>
      <c r="F69">
        <v>3</v>
      </c>
      <c r="G69" t="s">
        <v>113</v>
      </c>
      <c r="H69" s="11" t="s">
        <v>2</v>
      </c>
      <c r="I69">
        <v>3</v>
      </c>
      <c r="J69">
        <v>5</v>
      </c>
      <c r="K69">
        <v>4</v>
      </c>
      <c r="L69">
        <v>1</v>
      </c>
      <c r="M69">
        <v>5</v>
      </c>
      <c r="N69">
        <v>4</v>
      </c>
      <c r="O69">
        <v>8</v>
      </c>
      <c r="P69">
        <v>10</v>
      </c>
      <c r="Q69">
        <v>13</v>
      </c>
      <c r="R69">
        <v>3</v>
      </c>
      <c r="S69">
        <v>7</v>
      </c>
      <c r="T69">
        <v>7</v>
      </c>
      <c r="U69">
        <v>4</v>
      </c>
      <c r="V69">
        <v>3</v>
      </c>
      <c r="W69">
        <v>9</v>
      </c>
      <c r="X69">
        <v>15</v>
      </c>
      <c r="Y69" s="15">
        <v>9.8118811881188126</v>
      </c>
      <c r="Z69">
        <v>120</v>
      </c>
      <c r="AA69">
        <v>101</v>
      </c>
      <c r="AB69" s="25">
        <v>9.9500000000000011</v>
      </c>
      <c r="AC69" s="25"/>
      <c r="AD69" s="25"/>
      <c r="AE69" s="25">
        <f>Table3[[#This Row],[flies_out]]/Table3[[#This Row],[flies_in]]</f>
        <v>0.84166666666666667</v>
      </c>
    </row>
    <row r="70" spans="1:31" x14ac:dyDescent="0.35">
      <c r="A70">
        <v>4</v>
      </c>
      <c r="B70" t="s">
        <v>117</v>
      </c>
      <c r="C70">
        <v>2</v>
      </c>
      <c r="D70" s="2" t="s">
        <v>104</v>
      </c>
      <c r="E70" t="s">
        <v>3</v>
      </c>
      <c r="F70">
        <v>3</v>
      </c>
      <c r="G70" t="s">
        <v>1</v>
      </c>
      <c r="H70" s="11" t="s">
        <v>2</v>
      </c>
      <c r="I70">
        <v>4</v>
      </c>
      <c r="J70">
        <v>14</v>
      </c>
      <c r="K70">
        <v>15</v>
      </c>
      <c r="L70">
        <v>4</v>
      </c>
      <c r="M70">
        <v>5</v>
      </c>
      <c r="N70">
        <v>6</v>
      </c>
      <c r="O70">
        <v>5</v>
      </c>
      <c r="P70">
        <v>2</v>
      </c>
      <c r="Q70">
        <v>14</v>
      </c>
      <c r="R70">
        <v>4</v>
      </c>
      <c r="S70">
        <v>3</v>
      </c>
      <c r="T70">
        <v>2</v>
      </c>
      <c r="U70">
        <v>3</v>
      </c>
      <c r="V70">
        <v>1</v>
      </c>
      <c r="W70">
        <v>1</v>
      </c>
      <c r="X70">
        <v>3</v>
      </c>
      <c r="Y70" s="15">
        <v>6.3255813953488369</v>
      </c>
      <c r="Z70">
        <v>120</v>
      </c>
      <c r="AA70">
        <v>86</v>
      </c>
      <c r="AB70" s="25">
        <v>9.9500000000000011</v>
      </c>
      <c r="AC70" s="25"/>
      <c r="AD70" s="25"/>
      <c r="AE70" s="25">
        <f>Table3[[#This Row],[flies_out]]/Table3[[#This Row],[flies_in]]</f>
        <v>0.71666666666666667</v>
      </c>
    </row>
    <row r="71" spans="1:31" x14ac:dyDescent="0.35">
      <c r="A71">
        <v>4</v>
      </c>
      <c r="B71" t="s">
        <v>117</v>
      </c>
      <c r="C71">
        <v>2</v>
      </c>
      <c r="D71" s="2" t="s">
        <v>104</v>
      </c>
      <c r="E71" t="s">
        <v>3</v>
      </c>
      <c r="F71">
        <v>3</v>
      </c>
      <c r="G71" t="s">
        <v>114</v>
      </c>
      <c r="H71" s="11" t="s">
        <v>0</v>
      </c>
      <c r="I71">
        <v>4</v>
      </c>
      <c r="J71">
        <v>7</v>
      </c>
      <c r="K71">
        <v>8</v>
      </c>
      <c r="L71">
        <v>8</v>
      </c>
      <c r="M71">
        <v>8</v>
      </c>
      <c r="N71">
        <v>9</v>
      </c>
      <c r="O71">
        <v>4</v>
      </c>
      <c r="P71">
        <v>14</v>
      </c>
      <c r="Q71">
        <v>9</v>
      </c>
      <c r="R71">
        <v>7</v>
      </c>
      <c r="S71">
        <v>2</v>
      </c>
      <c r="T71">
        <v>6</v>
      </c>
      <c r="U71">
        <v>1</v>
      </c>
      <c r="V71">
        <v>0</v>
      </c>
      <c r="W71">
        <v>1</v>
      </c>
      <c r="X71">
        <v>0</v>
      </c>
      <c r="Y71" s="15">
        <v>6.6022727272727275</v>
      </c>
      <c r="Z71">
        <v>120</v>
      </c>
      <c r="AA71">
        <v>88</v>
      </c>
      <c r="AB71" s="25">
        <v>9.9500000000000011</v>
      </c>
      <c r="AC71" s="25"/>
      <c r="AD71" s="25"/>
      <c r="AE71" s="25">
        <f>Table3[[#This Row],[flies_out]]/Table3[[#This Row],[flies_in]]</f>
        <v>0.73333333333333328</v>
      </c>
    </row>
    <row r="72" spans="1:31" x14ac:dyDescent="0.35">
      <c r="A72">
        <v>4</v>
      </c>
      <c r="B72" t="s">
        <v>118</v>
      </c>
      <c r="C72">
        <v>2</v>
      </c>
      <c r="D72" s="2" t="s">
        <v>104</v>
      </c>
      <c r="E72" t="s">
        <v>3</v>
      </c>
      <c r="F72">
        <v>4</v>
      </c>
      <c r="G72" t="s">
        <v>112</v>
      </c>
      <c r="H72" s="11" t="s">
        <v>0</v>
      </c>
      <c r="I72">
        <v>0</v>
      </c>
      <c r="J72">
        <v>0</v>
      </c>
      <c r="K72">
        <v>2</v>
      </c>
      <c r="L72">
        <v>2</v>
      </c>
      <c r="M72">
        <v>2</v>
      </c>
      <c r="N72">
        <v>5</v>
      </c>
      <c r="O72">
        <v>2</v>
      </c>
      <c r="P72">
        <v>14</v>
      </c>
      <c r="Q72">
        <v>4</v>
      </c>
      <c r="R72">
        <v>5</v>
      </c>
      <c r="S72">
        <v>7</v>
      </c>
      <c r="T72">
        <v>11</v>
      </c>
      <c r="U72">
        <v>6</v>
      </c>
      <c r="V72">
        <v>15</v>
      </c>
      <c r="W72">
        <v>8</v>
      </c>
      <c r="X72">
        <v>3</v>
      </c>
      <c r="Y72" s="15">
        <v>10.825581395348838</v>
      </c>
      <c r="Z72">
        <v>120</v>
      </c>
      <c r="AA72">
        <v>86</v>
      </c>
      <c r="AB72" s="25">
        <v>12.833333333333332</v>
      </c>
      <c r="AC72" s="25"/>
      <c r="AD72" s="25"/>
      <c r="AE72" s="25">
        <f>Table3[[#This Row],[flies_out]]/Table3[[#This Row],[flies_in]]</f>
        <v>0.71666666666666667</v>
      </c>
    </row>
    <row r="73" spans="1:31" x14ac:dyDescent="0.35">
      <c r="A73">
        <v>4</v>
      </c>
      <c r="B73" t="s">
        <v>118</v>
      </c>
      <c r="C73">
        <v>2</v>
      </c>
      <c r="D73" s="2" t="s">
        <v>104</v>
      </c>
      <c r="E73" t="s">
        <v>3</v>
      </c>
      <c r="F73">
        <v>4</v>
      </c>
      <c r="G73" t="s">
        <v>113</v>
      </c>
      <c r="H73" s="11" t="s">
        <v>2</v>
      </c>
      <c r="I73">
        <v>9</v>
      </c>
      <c r="J73">
        <v>9</v>
      </c>
      <c r="K73">
        <v>11</v>
      </c>
      <c r="L73">
        <v>0</v>
      </c>
      <c r="M73">
        <v>6</v>
      </c>
      <c r="N73">
        <v>5</v>
      </c>
      <c r="O73">
        <v>2</v>
      </c>
      <c r="P73">
        <v>5</v>
      </c>
      <c r="Q73">
        <v>6</v>
      </c>
      <c r="R73">
        <v>2</v>
      </c>
      <c r="S73">
        <v>3</v>
      </c>
      <c r="T73">
        <v>1</v>
      </c>
      <c r="U73">
        <v>1</v>
      </c>
      <c r="V73">
        <v>0</v>
      </c>
      <c r="W73">
        <v>1</v>
      </c>
      <c r="X73">
        <v>3</v>
      </c>
      <c r="Y73" s="15">
        <v>5.765625</v>
      </c>
      <c r="Z73">
        <v>120</v>
      </c>
      <c r="AA73" s="4">
        <v>64</v>
      </c>
      <c r="AB73" s="25">
        <v>12.833333333333332</v>
      </c>
      <c r="AC73" s="25"/>
      <c r="AD73" s="25"/>
      <c r="AE73" s="25">
        <f>Table3[[#This Row],[flies_out]]/Table3[[#This Row],[flies_in]]</f>
        <v>0.53333333333333333</v>
      </c>
    </row>
    <row r="74" spans="1:31" x14ac:dyDescent="0.35">
      <c r="A74">
        <v>4</v>
      </c>
      <c r="B74" t="s">
        <v>118</v>
      </c>
      <c r="C74">
        <v>2</v>
      </c>
      <c r="D74" s="2" t="s">
        <v>104</v>
      </c>
      <c r="E74" t="s">
        <v>3</v>
      </c>
      <c r="F74">
        <v>4</v>
      </c>
      <c r="G74" t="s">
        <v>1</v>
      </c>
      <c r="H74" s="11" t="s">
        <v>2</v>
      </c>
      <c r="I74">
        <v>14</v>
      </c>
      <c r="J74">
        <v>19</v>
      </c>
      <c r="K74">
        <v>16</v>
      </c>
      <c r="L74">
        <v>8</v>
      </c>
      <c r="M74">
        <v>7</v>
      </c>
      <c r="N74">
        <v>10</v>
      </c>
      <c r="O74">
        <v>2</v>
      </c>
      <c r="P74">
        <v>5</v>
      </c>
      <c r="Q74">
        <v>6</v>
      </c>
      <c r="R74">
        <v>2</v>
      </c>
      <c r="S74">
        <v>0</v>
      </c>
      <c r="T74">
        <v>2</v>
      </c>
      <c r="U74">
        <v>0</v>
      </c>
      <c r="V74">
        <v>0</v>
      </c>
      <c r="W74">
        <v>0</v>
      </c>
      <c r="X74">
        <v>0</v>
      </c>
      <c r="Y74" s="15">
        <v>4.1648351648351651</v>
      </c>
      <c r="Z74">
        <v>120</v>
      </c>
      <c r="AA74" s="4">
        <v>91</v>
      </c>
      <c r="AB74" s="25">
        <v>12.833333333333332</v>
      </c>
      <c r="AC74" s="25"/>
      <c r="AD74" s="25"/>
      <c r="AE74" s="25">
        <f>Table3[[#This Row],[flies_out]]/Table3[[#This Row],[flies_in]]</f>
        <v>0.7583333333333333</v>
      </c>
    </row>
    <row r="75" spans="1:31" x14ac:dyDescent="0.35">
      <c r="A75">
        <v>4</v>
      </c>
      <c r="B75" t="s">
        <v>118</v>
      </c>
      <c r="C75">
        <v>2</v>
      </c>
      <c r="D75" s="2" t="s">
        <v>104</v>
      </c>
      <c r="E75" t="s">
        <v>3</v>
      </c>
      <c r="F75">
        <v>4</v>
      </c>
      <c r="G75" t="s">
        <v>114</v>
      </c>
      <c r="H75" s="11" t="s">
        <v>0</v>
      </c>
      <c r="I75">
        <v>10</v>
      </c>
      <c r="J75">
        <v>2</v>
      </c>
      <c r="K75">
        <v>3</v>
      </c>
      <c r="L75">
        <v>2</v>
      </c>
      <c r="M75">
        <v>9</v>
      </c>
      <c r="N75">
        <v>11</v>
      </c>
      <c r="O75">
        <v>6</v>
      </c>
      <c r="P75">
        <v>11</v>
      </c>
      <c r="Q75">
        <v>8</v>
      </c>
      <c r="R75">
        <v>6</v>
      </c>
      <c r="S75">
        <v>0</v>
      </c>
      <c r="T75">
        <v>2</v>
      </c>
      <c r="U75">
        <v>0</v>
      </c>
      <c r="V75">
        <v>0</v>
      </c>
      <c r="W75">
        <v>0</v>
      </c>
      <c r="X75">
        <v>0</v>
      </c>
      <c r="Y75" s="15">
        <v>6.1142857142857139</v>
      </c>
      <c r="Z75">
        <v>120</v>
      </c>
      <c r="AA75" s="4">
        <v>70</v>
      </c>
      <c r="AB75" s="25">
        <v>12.833333333333332</v>
      </c>
      <c r="AC75" s="25"/>
      <c r="AD75" s="25"/>
      <c r="AE75" s="25">
        <f>Table3[[#This Row],[flies_out]]/Table3[[#This Row],[flies_in]]</f>
        <v>0.58333333333333337</v>
      </c>
    </row>
    <row r="76" spans="1:31" s="4" customFormat="1" x14ac:dyDescent="0.35">
      <c r="A76" s="4">
        <v>5</v>
      </c>
      <c r="B76" s="4" t="s">
        <v>117</v>
      </c>
      <c r="C76" s="4">
        <v>1</v>
      </c>
      <c r="D76" s="5" t="s">
        <v>104</v>
      </c>
      <c r="E76" s="4" t="s">
        <v>3</v>
      </c>
      <c r="F76" s="4">
        <v>2</v>
      </c>
      <c r="G76" s="4" t="s">
        <v>112</v>
      </c>
      <c r="H76" s="12" t="s">
        <v>2</v>
      </c>
      <c r="I76" s="4">
        <v>0</v>
      </c>
      <c r="J76" s="4">
        <v>0</v>
      </c>
      <c r="K76" s="4">
        <v>0</v>
      </c>
      <c r="L76" s="4">
        <v>1</v>
      </c>
      <c r="M76" s="4">
        <v>3</v>
      </c>
      <c r="N76" s="4">
        <v>1</v>
      </c>
      <c r="O76" s="4">
        <v>5</v>
      </c>
      <c r="P76" s="4">
        <v>6</v>
      </c>
      <c r="Q76" s="4">
        <v>4</v>
      </c>
      <c r="R76" s="4">
        <v>3</v>
      </c>
      <c r="S76" s="4">
        <v>13</v>
      </c>
      <c r="T76" s="4">
        <v>10</v>
      </c>
      <c r="U76" s="4">
        <v>4</v>
      </c>
      <c r="V76" s="4">
        <v>8</v>
      </c>
      <c r="W76" s="4">
        <v>17</v>
      </c>
      <c r="X76" s="4">
        <v>4</v>
      </c>
      <c r="Y76" s="14">
        <v>11.645569620253164</v>
      </c>
      <c r="Z76" s="4">
        <v>120</v>
      </c>
      <c r="AA76" s="4">
        <v>79</v>
      </c>
      <c r="AB76" s="24">
        <v>9</v>
      </c>
      <c r="AC76" s="24">
        <v>11.183333333333334</v>
      </c>
      <c r="AD76" s="24">
        <v>2.1833333333333336</v>
      </c>
      <c r="AE76" s="25">
        <f>Table3[[#This Row],[flies_out]]/Table3[[#This Row],[flies_in]]</f>
        <v>0.65833333333333333</v>
      </c>
    </row>
    <row r="77" spans="1:31" s="4" customFormat="1" x14ac:dyDescent="0.35">
      <c r="A77" s="4">
        <v>5</v>
      </c>
      <c r="B77" s="4" t="s">
        <v>117</v>
      </c>
      <c r="C77" s="4">
        <v>1</v>
      </c>
      <c r="D77" s="5" t="s">
        <v>104</v>
      </c>
      <c r="E77" s="4" t="s">
        <v>3</v>
      </c>
      <c r="F77" s="4">
        <v>2</v>
      </c>
      <c r="G77" s="4" t="s">
        <v>113</v>
      </c>
      <c r="H77" s="12" t="s">
        <v>2</v>
      </c>
      <c r="I77" s="4">
        <v>1</v>
      </c>
      <c r="J77" s="4">
        <v>3</v>
      </c>
      <c r="K77" s="4">
        <v>0</v>
      </c>
      <c r="L77" s="4">
        <v>0</v>
      </c>
      <c r="M77" s="4">
        <v>4</v>
      </c>
      <c r="N77" s="4">
        <v>0</v>
      </c>
      <c r="O77" s="4">
        <v>14</v>
      </c>
      <c r="P77" s="4">
        <v>10</v>
      </c>
      <c r="Q77" s="4">
        <v>4</v>
      </c>
      <c r="R77" s="4">
        <v>3</v>
      </c>
      <c r="S77" s="4">
        <v>6</v>
      </c>
      <c r="T77" s="4">
        <v>7</v>
      </c>
      <c r="U77" s="4">
        <v>3</v>
      </c>
      <c r="V77" s="4">
        <v>4</v>
      </c>
      <c r="W77" s="4">
        <v>5</v>
      </c>
      <c r="X77" s="4">
        <v>9</v>
      </c>
      <c r="Y77" s="14">
        <v>10.068493150684931</v>
      </c>
      <c r="Z77" s="4">
        <v>120</v>
      </c>
      <c r="AA77" s="4">
        <v>73</v>
      </c>
      <c r="AB77" s="24">
        <v>9</v>
      </c>
      <c r="AC77" s="24">
        <v>11.183333333333334</v>
      </c>
      <c r="AD77" s="24">
        <v>2.1833333333333336</v>
      </c>
      <c r="AE77" s="25">
        <f>Table3[[#This Row],[flies_out]]/Table3[[#This Row],[flies_in]]</f>
        <v>0.60833333333333328</v>
      </c>
    </row>
    <row r="78" spans="1:31" s="4" customFormat="1" x14ac:dyDescent="0.35">
      <c r="A78" s="4">
        <v>5</v>
      </c>
      <c r="B78" s="4" t="s">
        <v>117</v>
      </c>
      <c r="C78" s="4">
        <v>1</v>
      </c>
      <c r="D78" s="5" t="s">
        <v>104</v>
      </c>
      <c r="E78" s="4" t="s">
        <v>3</v>
      </c>
      <c r="F78" s="4">
        <v>2</v>
      </c>
      <c r="G78" s="4" t="s">
        <v>1</v>
      </c>
      <c r="H78" s="12" t="s">
        <v>0</v>
      </c>
      <c r="I78" s="4">
        <v>2</v>
      </c>
      <c r="J78" s="4">
        <v>7</v>
      </c>
      <c r="K78" s="4">
        <v>10</v>
      </c>
      <c r="L78" s="4">
        <v>6</v>
      </c>
      <c r="M78" s="4">
        <v>7</v>
      </c>
      <c r="N78" s="4">
        <v>10</v>
      </c>
      <c r="O78" s="4">
        <v>1</v>
      </c>
      <c r="P78" s="4">
        <v>15</v>
      </c>
      <c r="Q78" s="4">
        <v>12</v>
      </c>
      <c r="R78" s="4">
        <v>0</v>
      </c>
      <c r="S78" s="4">
        <v>6</v>
      </c>
      <c r="T78" s="4">
        <v>5</v>
      </c>
      <c r="U78" s="4">
        <v>1</v>
      </c>
      <c r="V78" s="4">
        <v>2</v>
      </c>
      <c r="W78" s="4">
        <v>0</v>
      </c>
      <c r="X78" s="4">
        <v>0</v>
      </c>
      <c r="Y78" s="14">
        <v>6.75</v>
      </c>
      <c r="Z78" s="4">
        <v>120</v>
      </c>
      <c r="AA78" s="4">
        <v>84</v>
      </c>
      <c r="AB78" s="24">
        <v>9</v>
      </c>
      <c r="AC78" s="24">
        <v>11.183333333333328</v>
      </c>
      <c r="AD78" s="24">
        <v>2.1833333333333282</v>
      </c>
      <c r="AE78" s="25">
        <f>Table3[[#This Row],[flies_out]]/Table3[[#This Row],[flies_in]]</f>
        <v>0.7</v>
      </c>
    </row>
    <row r="79" spans="1:31" s="4" customFormat="1" x14ac:dyDescent="0.35">
      <c r="A79" s="4">
        <v>5</v>
      </c>
      <c r="B79" s="4" t="s">
        <v>117</v>
      </c>
      <c r="C79" s="4">
        <v>1</v>
      </c>
      <c r="D79" s="5" t="s">
        <v>104</v>
      </c>
      <c r="E79" s="4" t="s">
        <v>3</v>
      </c>
      <c r="F79" s="4">
        <v>2</v>
      </c>
      <c r="G79" s="4" t="s">
        <v>114</v>
      </c>
      <c r="H79" s="12" t="s">
        <v>0</v>
      </c>
      <c r="I79" s="4">
        <v>0</v>
      </c>
      <c r="J79" s="4">
        <v>6</v>
      </c>
      <c r="K79" s="4">
        <v>1</v>
      </c>
      <c r="L79" s="4">
        <v>4</v>
      </c>
      <c r="M79" s="4">
        <v>8</v>
      </c>
      <c r="N79" s="4">
        <v>1</v>
      </c>
      <c r="O79" s="4">
        <v>5</v>
      </c>
      <c r="P79" s="4">
        <v>14</v>
      </c>
      <c r="Q79" s="4">
        <v>7</v>
      </c>
      <c r="R79" s="4">
        <v>19</v>
      </c>
      <c r="S79" s="4">
        <v>0</v>
      </c>
      <c r="T79" s="4">
        <v>1</v>
      </c>
      <c r="U79" s="4">
        <v>1</v>
      </c>
      <c r="V79" s="4">
        <v>2</v>
      </c>
      <c r="W79" s="4">
        <v>2</v>
      </c>
      <c r="X79" s="4">
        <v>0</v>
      </c>
      <c r="Y79" s="14">
        <v>7.887323943661972</v>
      </c>
      <c r="Z79" s="4">
        <v>120</v>
      </c>
      <c r="AA79" s="4">
        <v>71</v>
      </c>
      <c r="AB79" s="24">
        <v>9</v>
      </c>
      <c r="AC79" s="24">
        <v>11.183333333333328</v>
      </c>
      <c r="AD79" s="24">
        <v>2.1833333333333282</v>
      </c>
      <c r="AE79" s="25">
        <f>Table3[[#This Row],[flies_out]]/Table3[[#This Row],[flies_in]]</f>
        <v>0.59166666666666667</v>
      </c>
    </row>
    <row r="80" spans="1:31" s="4" customFormat="1" x14ac:dyDescent="0.35">
      <c r="A80" s="4">
        <v>5</v>
      </c>
      <c r="B80" s="4" t="s">
        <v>118</v>
      </c>
      <c r="C80" s="4">
        <v>1</v>
      </c>
      <c r="D80" s="5" t="s">
        <v>104</v>
      </c>
      <c r="E80" s="4" t="s">
        <v>3</v>
      </c>
      <c r="F80" s="4">
        <v>1</v>
      </c>
      <c r="G80" s="4" t="s">
        <v>112</v>
      </c>
      <c r="H80" s="12" t="s">
        <v>2</v>
      </c>
      <c r="I80" s="4">
        <v>0</v>
      </c>
      <c r="J80" s="4">
        <v>1</v>
      </c>
      <c r="K80" s="4">
        <v>0</v>
      </c>
      <c r="L80" s="4">
        <v>2</v>
      </c>
      <c r="M80" s="4">
        <v>4</v>
      </c>
      <c r="N80" s="4">
        <v>9</v>
      </c>
      <c r="O80" s="4">
        <v>10</v>
      </c>
      <c r="P80" s="4">
        <v>7</v>
      </c>
      <c r="Q80" s="4">
        <v>4</v>
      </c>
      <c r="R80" s="4">
        <v>8</v>
      </c>
      <c r="S80" s="4">
        <v>11</v>
      </c>
      <c r="T80" s="4">
        <v>5</v>
      </c>
      <c r="U80" s="4">
        <v>4</v>
      </c>
      <c r="V80" s="4">
        <v>1</v>
      </c>
      <c r="W80" s="4">
        <v>3</v>
      </c>
      <c r="X80" s="4">
        <v>1</v>
      </c>
      <c r="Y80" s="14">
        <v>9.0571428571428569</v>
      </c>
      <c r="Z80" s="4">
        <v>120</v>
      </c>
      <c r="AA80" s="4">
        <v>70</v>
      </c>
      <c r="AB80" s="24">
        <v>12.25</v>
      </c>
      <c r="AC80" s="24">
        <v>14</v>
      </c>
      <c r="AD80" s="24">
        <v>1.75</v>
      </c>
      <c r="AE80" s="25">
        <f>Table3[[#This Row],[flies_out]]/Table3[[#This Row],[flies_in]]</f>
        <v>0.58333333333333337</v>
      </c>
    </row>
    <row r="81" spans="1:31" s="4" customFormat="1" x14ac:dyDescent="0.35">
      <c r="A81" s="4">
        <v>5</v>
      </c>
      <c r="B81" s="4" t="s">
        <v>118</v>
      </c>
      <c r="C81" s="4">
        <v>1</v>
      </c>
      <c r="D81" s="5" t="s">
        <v>104</v>
      </c>
      <c r="E81" s="4" t="s">
        <v>3</v>
      </c>
      <c r="F81" s="4">
        <v>1</v>
      </c>
      <c r="G81" s="4" t="s">
        <v>113</v>
      </c>
      <c r="H81" s="12" t="s">
        <v>0</v>
      </c>
      <c r="I81" s="4">
        <v>1</v>
      </c>
      <c r="J81" s="4">
        <v>1</v>
      </c>
      <c r="K81" s="4">
        <v>5</v>
      </c>
      <c r="L81" s="4">
        <v>0</v>
      </c>
      <c r="M81" s="4">
        <v>6</v>
      </c>
      <c r="N81" s="4">
        <v>8</v>
      </c>
      <c r="O81" s="4">
        <v>17</v>
      </c>
      <c r="P81" s="4">
        <v>14</v>
      </c>
      <c r="Q81" s="4">
        <v>2</v>
      </c>
      <c r="R81" s="4">
        <v>3</v>
      </c>
      <c r="S81" s="4">
        <v>4</v>
      </c>
      <c r="T81" s="4">
        <v>2</v>
      </c>
      <c r="U81" s="4">
        <v>3</v>
      </c>
      <c r="V81" s="4">
        <v>1</v>
      </c>
      <c r="W81" s="4">
        <v>3</v>
      </c>
      <c r="X81" s="4">
        <v>4</v>
      </c>
      <c r="Y81" s="14">
        <v>8.1756756756756754</v>
      </c>
      <c r="Z81" s="4">
        <v>120</v>
      </c>
      <c r="AA81" s="4">
        <v>74</v>
      </c>
      <c r="AB81" s="24">
        <v>12.25</v>
      </c>
      <c r="AC81" s="24">
        <v>14.166666666666668</v>
      </c>
      <c r="AD81" s="24">
        <v>1.9166666666666679</v>
      </c>
      <c r="AE81" s="25">
        <f>Table3[[#This Row],[flies_out]]/Table3[[#This Row],[flies_in]]</f>
        <v>0.6166666666666667</v>
      </c>
    </row>
    <row r="82" spans="1:31" s="4" customFormat="1" x14ac:dyDescent="0.35">
      <c r="A82" s="4">
        <v>5</v>
      </c>
      <c r="B82" s="4" t="s">
        <v>118</v>
      </c>
      <c r="C82" s="4">
        <v>1</v>
      </c>
      <c r="D82" s="5" t="s">
        <v>104</v>
      </c>
      <c r="E82" s="4" t="s">
        <v>3</v>
      </c>
      <c r="F82" s="4">
        <v>1</v>
      </c>
      <c r="G82" s="4" t="s">
        <v>1</v>
      </c>
      <c r="H82" s="12" t="s">
        <v>0</v>
      </c>
      <c r="I82" s="4">
        <v>15</v>
      </c>
      <c r="J82" s="4">
        <v>26</v>
      </c>
      <c r="K82" s="4">
        <v>24</v>
      </c>
      <c r="L82" s="4">
        <v>13</v>
      </c>
      <c r="M82" s="4">
        <v>14</v>
      </c>
      <c r="N82" s="4">
        <v>9</v>
      </c>
      <c r="O82" s="4">
        <v>4</v>
      </c>
      <c r="P82" s="4">
        <v>3</v>
      </c>
      <c r="Q82" s="4">
        <v>0</v>
      </c>
      <c r="R82" s="4">
        <v>3</v>
      </c>
      <c r="S82" s="4">
        <v>1</v>
      </c>
      <c r="T82" s="4">
        <v>0</v>
      </c>
      <c r="U82" s="4">
        <v>1</v>
      </c>
      <c r="V82" s="4">
        <v>1</v>
      </c>
      <c r="W82" s="4">
        <v>1</v>
      </c>
      <c r="X82" s="4">
        <v>0</v>
      </c>
      <c r="Y82" s="14">
        <v>3.9130434782608696</v>
      </c>
      <c r="Z82" s="4">
        <v>120</v>
      </c>
      <c r="AA82" s="4">
        <v>115</v>
      </c>
      <c r="AB82" s="24">
        <v>12.25</v>
      </c>
      <c r="AC82" s="24">
        <v>14.316666666666666</v>
      </c>
      <c r="AD82" s="24">
        <v>2.0666666666666664</v>
      </c>
      <c r="AE82" s="25">
        <f>Table3[[#This Row],[flies_out]]/Table3[[#This Row],[flies_in]]</f>
        <v>0.95833333333333337</v>
      </c>
    </row>
    <row r="83" spans="1:31" s="4" customFormat="1" x14ac:dyDescent="0.35">
      <c r="A83" s="4">
        <v>5</v>
      </c>
      <c r="B83" s="4" t="s">
        <v>118</v>
      </c>
      <c r="C83" s="4">
        <v>1</v>
      </c>
      <c r="D83" s="5" t="s">
        <v>104</v>
      </c>
      <c r="E83" s="4" t="s">
        <v>3</v>
      </c>
      <c r="F83" s="4">
        <v>1</v>
      </c>
      <c r="G83" s="4" t="s">
        <v>114</v>
      </c>
      <c r="H83" s="12" t="s">
        <v>2</v>
      </c>
      <c r="I83" s="4">
        <v>2</v>
      </c>
      <c r="J83" s="4">
        <v>8</v>
      </c>
      <c r="K83" s="4">
        <v>8</v>
      </c>
      <c r="L83" s="4">
        <v>7</v>
      </c>
      <c r="M83" s="4">
        <v>8</v>
      </c>
      <c r="N83" s="4">
        <v>6</v>
      </c>
      <c r="O83" s="4">
        <v>10</v>
      </c>
      <c r="P83" s="4">
        <v>10</v>
      </c>
      <c r="Q83" s="4">
        <v>16</v>
      </c>
      <c r="R83" s="4">
        <v>15</v>
      </c>
      <c r="S83" s="4">
        <v>6</v>
      </c>
      <c r="T83" s="4">
        <v>4</v>
      </c>
      <c r="U83" s="4">
        <v>1</v>
      </c>
      <c r="V83" s="4">
        <v>3</v>
      </c>
      <c r="W83" s="4">
        <v>2</v>
      </c>
      <c r="X83" s="4">
        <v>0</v>
      </c>
      <c r="Y83" s="14">
        <v>7.4433962264150946</v>
      </c>
      <c r="Z83" s="4">
        <v>120</v>
      </c>
      <c r="AA83" s="4">
        <v>106</v>
      </c>
      <c r="AB83" s="24">
        <v>12.25</v>
      </c>
      <c r="AC83" s="24">
        <v>14.566666666666666</v>
      </c>
      <c r="AD83" s="24">
        <v>2.3166666666666664</v>
      </c>
      <c r="AE83" s="25">
        <f>Table3[[#This Row],[flies_out]]/Table3[[#This Row],[flies_in]]</f>
        <v>0.8833333333333333</v>
      </c>
    </row>
    <row r="84" spans="1:31" s="4" customFormat="1" x14ac:dyDescent="0.35">
      <c r="A84" s="4">
        <v>5</v>
      </c>
      <c r="B84" s="4" t="s">
        <v>117</v>
      </c>
      <c r="C84" s="4">
        <v>2</v>
      </c>
      <c r="D84" s="5" t="s">
        <v>104</v>
      </c>
      <c r="E84" s="4" t="s">
        <v>3</v>
      </c>
      <c r="F84" s="4">
        <v>4</v>
      </c>
      <c r="G84" s="4" t="s">
        <v>112</v>
      </c>
      <c r="H84" s="12" t="s">
        <v>2</v>
      </c>
      <c r="I84" s="4">
        <v>0</v>
      </c>
      <c r="J84" s="4">
        <v>0</v>
      </c>
      <c r="K84" s="4">
        <v>4</v>
      </c>
      <c r="L84" s="4">
        <v>2</v>
      </c>
      <c r="M84" s="4">
        <v>2</v>
      </c>
      <c r="N84" s="4">
        <v>3</v>
      </c>
      <c r="O84" s="4">
        <v>3</v>
      </c>
      <c r="P84" s="4">
        <v>9</v>
      </c>
      <c r="Q84" s="4">
        <v>6</v>
      </c>
      <c r="R84" s="4">
        <v>7</v>
      </c>
      <c r="S84" s="4">
        <v>12</v>
      </c>
      <c r="T84" s="4">
        <v>5</v>
      </c>
      <c r="U84" s="4">
        <v>4</v>
      </c>
      <c r="V84" s="4">
        <v>1</v>
      </c>
      <c r="W84" s="4">
        <v>10</v>
      </c>
      <c r="X84" s="4">
        <v>4</v>
      </c>
      <c r="Y84" s="14">
        <v>10.236111111111111</v>
      </c>
      <c r="Z84" s="4">
        <v>120</v>
      </c>
      <c r="AA84" s="4">
        <v>72</v>
      </c>
      <c r="AB84" s="24">
        <v>9.3333333333333339</v>
      </c>
      <c r="AC84" s="24">
        <v>11.049999999999999</v>
      </c>
      <c r="AD84" s="24">
        <v>1.716666666666665</v>
      </c>
      <c r="AE84" s="25">
        <f>Table3[[#This Row],[flies_out]]/Table3[[#This Row],[flies_in]]</f>
        <v>0.6</v>
      </c>
    </row>
    <row r="85" spans="1:31" s="4" customFormat="1" x14ac:dyDescent="0.35">
      <c r="A85" s="4">
        <v>5</v>
      </c>
      <c r="B85" s="4" t="s">
        <v>117</v>
      </c>
      <c r="C85" s="4">
        <v>2</v>
      </c>
      <c r="D85" s="5" t="s">
        <v>104</v>
      </c>
      <c r="E85" s="4" t="s">
        <v>3</v>
      </c>
      <c r="F85" s="4">
        <v>4</v>
      </c>
      <c r="G85" s="4" t="s">
        <v>113</v>
      </c>
      <c r="H85" s="12" t="s">
        <v>0</v>
      </c>
      <c r="I85" s="4">
        <v>3</v>
      </c>
      <c r="J85" s="4">
        <v>13</v>
      </c>
      <c r="K85" s="4">
        <v>3</v>
      </c>
      <c r="L85" s="4">
        <v>3</v>
      </c>
      <c r="M85" s="4">
        <v>6</v>
      </c>
      <c r="N85" s="4">
        <v>1</v>
      </c>
      <c r="O85" s="4">
        <v>10</v>
      </c>
      <c r="P85" s="4">
        <v>15</v>
      </c>
      <c r="Q85" s="4">
        <v>6</v>
      </c>
      <c r="R85" s="4">
        <v>3</v>
      </c>
      <c r="S85" s="4">
        <v>8</v>
      </c>
      <c r="T85" s="4">
        <v>7</v>
      </c>
      <c r="U85" s="4">
        <v>3</v>
      </c>
      <c r="V85" s="4">
        <v>5</v>
      </c>
      <c r="W85" s="4">
        <v>6</v>
      </c>
      <c r="X85" s="4">
        <v>2</v>
      </c>
      <c r="Y85" s="14">
        <v>8.1170212765957448</v>
      </c>
      <c r="Z85" s="4">
        <v>120</v>
      </c>
      <c r="AA85" s="4">
        <v>94</v>
      </c>
      <c r="AB85" s="24">
        <v>9.3333333333333339</v>
      </c>
      <c r="AC85" s="24">
        <v>11.183333333333334</v>
      </c>
      <c r="AD85" s="24">
        <v>1.8499999999999996</v>
      </c>
      <c r="AE85" s="25">
        <f>Table3[[#This Row],[flies_out]]/Table3[[#This Row],[flies_in]]</f>
        <v>0.78333333333333333</v>
      </c>
    </row>
    <row r="86" spans="1:31" s="4" customFormat="1" x14ac:dyDescent="0.35">
      <c r="A86" s="4">
        <v>5</v>
      </c>
      <c r="B86" s="4" t="s">
        <v>117</v>
      </c>
      <c r="C86" s="4">
        <v>2</v>
      </c>
      <c r="D86" s="5" t="s">
        <v>104</v>
      </c>
      <c r="E86" s="4" t="s">
        <v>3</v>
      </c>
      <c r="F86" s="4">
        <v>4</v>
      </c>
      <c r="G86" s="4" t="s">
        <v>1</v>
      </c>
      <c r="H86" s="12" t="s">
        <v>0</v>
      </c>
      <c r="I86" s="4">
        <v>4</v>
      </c>
      <c r="J86" s="4">
        <v>10</v>
      </c>
      <c r="K86" s="4">
        <v>12</v>
      </c>
      <c r="L86" s="4">
        <v>4</v>
      </c>
      <c r="M86" s="4">
        <v>5</v>
      </c>
      <c r="N86" s="4">
        <v>7</v>
      </c>
      <c r="O86" s="4">
        <v>6</v>
      </c>
      <c r="P86" s="4">
        <v>12</v>
      </c>
      <c r="Q86" s="4">
        <v>2</v>
      </c>
      <c r="R86" s="4">
        <v>5</v>
      </c>
      <c r="S86" s="4">
        <v>10</v>
      </c>
      <c r="T86" s="4">
        <v>5</v>
      </c>
      <c r="U86" s="4">
        <v>2</v>
      </c>
      <c r="V86" s="4">
        <v>0</v>
      </c>
      <c r="W86" s="4">
        <v>2</v>
      </c>
      <c r="X86" s="4">
        <v>0</v>
      </c>
      <c r="Y86" s="14">
        <v>6.6860465116279073</v>
      </c>
      <c r="Z86" s="4">
        <v>120</v>
      </c>
      <c r="AA86" s="4">
        <v>86</v>
      </c>
      <c r="AB86" s="24">
        <v>9.3333333333333339</v>
      </c>
      <c r="AC86" s="24">
        <v>11.266666666666666</v>
      </c>
      <c r="AD86" s="24">
        <v>1.9333333333333318</v>
      </c>
      <c r="AE86" s="25">
        <f>Table3[[#This Row],[flies_out]]/Table3[[#This Row],[flies_in]]</f>
        <v>0.71666666666666667</v>
      </c>
    </row>
    <row r="87" spans="1:31" s="4" customFormat="1" x14ac:dyDescent="0.35">
      <c r="A87" s="4">
        <v>5</v>
      </c>
      <c r="B87" s="4" t="s">
        <v>117</v>
      </c>
      <c r="C87" s="4">
        <v>2</v>
      </c>
      <c r="D87" s="5" t="s">
        <v>104</v>
      </c>
      <c r="E87" s="4" t="s">
        <v>3</v>
      </c>
      <c r="F87" s="4">
        <v>4</v>
      </c>
      <c r="G87" s="4" t="s">
        <v>114</v>
      </c>
      <c r="H87" s="12" t="s">
        <v>2</v>
      </c>
      <c r="I87" s="4">
        <v>3</v>
      </c>
      <c r="J87" s="4">
        <v>6</v>
      </c>
      <c r="K87" s="4">
        <v>7</v>
      </c>
      <c r="L87" s="4">
        <v>7</v>
      </c>
      <c r="M87" s="4">
        <v>6</v>
      </c>
      <c r="N87" s="4">
        <v>3</v>
      </c>
      <c r="O87" s="4">
        <v>4</v>
      </c>
      <c r="P87" s="4">
        <v>6</v>
      </c>
      <c r="Q87" s="4">
        <v>6</v>
      </c>
      <c r="R87" s="4">
        <v>4</v>
      </c>
      <c r="S87" s="4">
        <v>0</v>
      </c>
      <c r="T87" s="4">
        <v>1</v>
      </c>
      <c r="U87" s="4">
        <v>0</v>
      </c>
      <c r="V87" s="4">
        <v>2</v>
      </c>
      <c r="W87" s="4">
        <v>0</v>
      </c>
      <c r="X87" s="4">
        <v>1</v>
      </c>
      <c r="Y87" s="14">
        <v>6.0357142857142856</v>
      </c>
      <c r="Z87" s="4">
        <v>120</v>
      </c>
      <c r="AA87" s="4">
        <v>56</v>
      </c>
      <c r="AB87" s="24">
        <v>9.3333333333333339</v>
      </c>
      <c r="AC87" s="24">
        <v>11.366666666666667</v>
      </c>
      <c r="AD87" s="24">
        <v>2.0333333333333332</v>
      </c>
      <c r="AE87" s="25">
        <f>Table3[[#This Row],[flies_out]]/Table3[[#This Row],[flies_in]]</f>
        <v>0.46666666666666667</v>
      </c>
    </row>
    <row r="88" spans="1:31" s="4" customFormat="1" x14ac:dyDescent="0.35">
      <c r="A88" s="4">
        <v>5</v>
      </c>
      <c r="B88" s="4" t="s">
        <v>118</v>
      </c>
      <c r="C88" s="4">
        <v>2</v>
      </c>
      <c r="D88" s="5" t="s">
        <v>104</v>
      </c>
      <c r="E88" s="4" t="s">
        <v>3</v>
      </c>
      <c r="F88" s="4">
        <v>3</v>
      </c>
      <c r="G88" s="4" t="s">
        <v>112</v>
      </c>
      <c r="H88" s="12" t="s">
        <v>2</v>
      </c>
      <c r="I88" s="4">
        <v>0</v>
      </c>
      <c r="J88" s="4">
        <v>0</v>
      </c>
      <c r="K88" s="4">
        <v>7</v>
      </c>
      <c r="L88" s="4">
        <v>0</v>
      </c>
      <c r="M88" s="4">
        <v>1</v>
      </c>
      <c r="N88" s="4">
        <v>3</v>
      </c>
      <c r="O88" s="4">
        <v>10</v>
      </c>
      <c r="P88" s="4">
        <v>17</v>
      </c>
      <c r="Q88" s="4">
        <v>12</v>
      </c>
      <c r="R88" s="4">
        <v>19</v>
      </c>
      <c r="S88" s="4">
        <v>29</v>
      </c>
      <c r="T88" s="4">
        <v>9</v>
      </c>
      <c r="U88" s="4">
        <v>5</v>
      </c>
      <c r="V88" s="4">
        <v>3</v>
      </c>
      <c r="W88" s="4">
        <v>7</v>
      </c>
      <c r="X88" s="4">
        <v>1</v>
      </c>
      <c r="Y88" s="14">
        <v>9.7804878048780495</v>
      </c>
      <c r="Z88" s="4">
        <v>120</v>
      </c>
      <c r="AA88" s="4">
        <v>123</v>
      </c>
      <c r="AB88" s="24">
        <v>11.783333333333333</v>
      </c>
      <c r="AC88" s="24">
        <v>14</v>
      </c>
      <c r="AD88" s="24">
        <v>2.2166666666666668</v>
      </c>
      <c r="AE88" s="25">
        <f>Table3[[#This Row],[flies_out]]/Table3[[#This Row],[flies_in]]</f>
        <v>1.0249999999999999</v>
      </c>
    </row>
    <row r="89" spans="1:31" s="4" customFormat="1" x14ac:dyDescent="0.35">
      <c r="A89" s="4">
        <v>5</v>
      </c>
      <c r="B89" s="4" t="s">
        <v>118</v>
      </c>
      <c r="C89" s="4">
        <v>2</v>
      </c>
      <c r="D89" s="5" t="s">
        <v>104</v>
      </c>
      <c r="E89" s="4" t="s">
        <v>3</v>
      </c>
      <c r="F89" s="4">
        <v>3</v>
      </c>
      <c r="G89" s="4" t="s">
        <v>113</v>
      </c>
      <c r="H89" s="12" t="s">
        <v>0</v>
      </c>
      <c r="I89" s="4">
        <v>5</v>
      </c>
      <c r="J89" s="4">
        <v>14</v>
      </c>
      <c r="K89" s="4">
        <v>2</v>
      </c>
      <c r="L89" s="4">
        <v>3</v>
      </c>
      <c r="M89" s="4">
        <v>9</v>
      </c>
      <c r="N89" s="4">
        <v>9</v>
      </c>
      <c r="O89" s="4">
        <v>4</v>
      </c>
      <c r="P89" s="4">
        <v>8</v>
      </c>
      <c r="Q89" s="4">
        <v>4</v>
      </c>
      <c r="R89" s="4">
        <v>2</v>
      </c>
      <c r="S89" s="4">
        <v>1</v>
      </c>
      <c r="T89" s="4">
        <v>1</v>
      </c>
      <c r="U89" s="4">
        <v>0</v>
      </c>
      <c r="V89" s="4">
        <v>1</v>
      </c>
      <c r="W89" s="4">
        <v>1</v>
      </c>
      <c r="X89" s="4">
        <v>6</v>
      </c>
      <c r="Y89" s="14">
        <v>6.371428571428571</v>
      </c>
      <c r="Z89" s="4">
        <v>120</v>
      </c>
      <c r="AA89" s="4">
        <v>70</v>
      </c>
      <c r="AB89" s="24">
        <v>11.783333333333333</v>
      </c>
      <c r="AC89" s="24">
        <v>14.133333333333333</v>
      </c>
      <c r="AD89" s="24">
        <v>2.3499999999999996</v>
      </c>
      <c r="AE89" s="25">
        <f>Table3[[#This Row],[flies_out]]/Table3[[#This Row],[flies_in]]</f>
        <v>0.58333333333333337</v>
      </c>
    </row>
    <row r="90" spans="1:31" s="4" customFormat="1" x14ac:dyDescent="0.35">
      <c r="A90" s="4">
        <v>5</v>
      </c>
      <c r="B90" s="4" t="s">
        <v>118</v>
      </c>
      <c r="C90" s="4">
        <v>2</v>
      </c>
      <c r="D90" s="5" t="s">
        <v>104</v>
      </c>
      <c r="E90" s="4" t="s">
        <v>3</v>
      </c>
      <c r="F90" s="4">
        <v>3</v>
      </c>
      <c r="G90" s="4" t="s">
        <v>1</v>
      </c>
      <c r="H90" s="12" t="s">
        <v>0</v>
      </c>
      <c r="I90" s="4">
        <v>20</v>
      </c>
      <c r="J90" s="4">
        <v>23</v>
      </c>
      <c r="K90" s="4">
        <v>0</v>
      </c>
      <c r="L90" s="4">
        <v>5</v>
      </c>
      <c r="M90" s="4">
        <v>14</v>
      </c>
      <c r="N90" s="4">
        <v>11</v>
      </c>
      <c r="O90" s="4">
        <v>5</v>
      </c>
      <c r="P90" s="4">
        <v>4</v>
      </c>
      <c r="Q90" s="4">
        <v>3</v>
      </c>
      <c r="R90" s="4">
        <v>3</v>
      </c>
      <c r="S90" s="4">
        <v>2</v>
      </c>
      <c r="T90" s="4">
        <v>2</v>
      </c>
      <c r="U90" s="4">
        <v>1</v>
      </c>
      <c r="V90" s="4">
        <v>1</v>
      </c>
      <c r="W90" s="4">
        <v>2</v>
      </c>
      <c r="X90" s="4">
        <v>0</v>
      </c>
      <c r="Y90" s="14">
        <v>4.677083333333333</v>
      </c>
      <c r="Z90" s="4">
        <v>120</v>
      </c>
      <c r="AA90" s="4">
        <v>96</v>
      </c>
      <c r="AB90" s="24">
        <v>11.783333333333333</v>
      </c>
      <c r="AC90" s="24">
        <v>14.25</v>
      </c>
      <c r="AD90" s="24">
        <v>2.4666666666666668</v>
      </c>
      <c r="AE90" s="25">
        <f>Table3[[#This Row],[flies_out]]/Table3[[#This Row],[flies_in]]</f>
        <v>0.8</v>
      </c>
    </row>
    <row r="91" spans="1:31" s="4" customFormat="1" x14ac:dyDescent="0.35">
      <c r="A91" s="4">
        <v>5</v>
      </c>
      <c r="B91" s="4" t="s">
        <v>118</v>
      </c>
      <c r="C91" s="4">
        <v>2</v>
      </c>
      <c r="D91" s="5" t="s">
        <v>104</v>
      </c>
      <c r="E91" s="4" t="s">
        <v>3</v>
      </c>
      <c r="F91" s="4">
        <v>3</v>
      </c>
      <c r="G91" s="4" t="s">
        <v>114</v>
      </c>
      <c r="H91" s="12" t="s">
        <v>2</v>
      </c>
      <c r="I91" s="4">
        <v>9</v>
      </c>
      <c r="J91" s="4">
        <v>5</v>
      </c>
      <c r="K91" s="4">
        <v>4</v>
      </c>
      <c r="L91" s="4">
        <v>5</v>
      </c>
      <c r="M91" s="4">
        <v>15</v>
      </c>
      <c r="N91" s="4">
        <v>17</v>
      </c>
      <c r="O91" s="4">
        <v>14</v>
      </c>
      <c r="P91" s="4">
        <v>8</v>
      </c>
      <c r="Q91" s="4">
        <v>5</v>
      </c>
      <c r="R91" s="4">
        <v>3</v>
      </c>
      <c r="S91" s="4">
        <v>4</v>
      </c>
      <c r="T91" s="4">
        <v>3</v>
      </c>
      <c r="U91" s="4">
        <v>2</v>
      </c>
      <c r="V91" s="4">
        <v>0</v>
      </c>
      <c r="W91" s="4">
        <v>0</v>
      </c>
      <c r="X91" s="4">
        <v>0</v>
      </c>
      <c r="Y91" s="14">
        <v>6.0744680851063828</v>
      </c>
      <c r="Z91" s="4">
        <v>120</v>
      </c>
      <c r="AA91" s="4">
        <v>94</v>
      </c>
      <c r="AB91" s="24">
        <v>11.783333333333333</v>
      </c>
      <c r="AC91" s="24">
        <v>14.416666666666666</v>
      </c>
      <c r="AD91" s="24">
        <v>2.6333333333333329</v>
      </c>
      <c r="AE91" s="25">
        <f>Table3[[#This Row],[flies_out]]/Table3[[#This Row],[flies_in]]</f>
        <v>0.78333333333333333</v>
      </c>
    </row>
    <row r="92" spans="1:31" s="4" customFormat="1" x14ac:dyDescent="0.35">
      <c r="A92" s="4">
        <v>5</v>
      </c>
      <c r="B92" s="4" t="s">
        <v>118</v>
      </c>
      <c r="C92" s="4">
        <v>2</v>
      </c>
      <c r="D92" s="5" t="s">
        <v>104</v>
      </c>
      <c r="E92" s="4" t="s">
        <v>1</v>
      </c>
      <c r="F92" s="4">
        <v>1</v>
      </c>
      <c r="G92" s="4" t="s">
        <v>112</v>
      </c>
      <c r="H92" s="12" t="s">
        <v>0</v>
      </c>
      <c r="I92" s="4">
        <v>0</v>
      </c>
      <c r="J92" s="4">
        <v>1</v>
      </c>
      <c r="K92" s="4">
        <v>7</v>
      </c>
      <c r="L92" s="4">
        <v>4</v>
      </c>
      <c r="M92" s="4">
        <v>12</v>
      </c>
      <c r="N92" s="4">
        <v>15</v>
      </c>
      <c r="O92" s="4">
        <v>11</v>
      </c>
      <c r="P92" s="4">
        <v>6</v>
      </c>
      <c r="Q92" s="4">
        <v>11</v>
      </c>
      <c r="R92" s="4">
        <v>10</v>
      </c>
      <c r="S92" s="4">
        <v>13</v>
      </c>
      <c r="T92" s="4">
        <v>9</v>
      </c>
      <c r="U92" s="4">
        <v>7</v>
      </c>
      <c r="V92" s="4">
        <v>1</v>
      </c>
      <c r="W92" s="4">
        <v>7</v>
      </c>
      <c r="X92" s="4">
        <v>0</v>
      </c>
      <c r="Y92" s="14">
        <v>8.5438596491228065</v>
      </c>
      <c r="Z92" s="4">
        <v>120</v>
      </c>
      <c r="AA92" s="4">
        <v>114</v>
      </c>
      <c r="AB92" s="24">
        <v>15.166666666666666</v>
      </c>
      <c r="AC92" s="24">
        <v>18.05</v>
      </c>
      <c r="AD92" s="24">
        <v>2.8833333333333346</v>
      </c>
      <c r="AE92" s="25">
        <f>Table3[[#This Row],[flies_out]]/Table3[[#This Row],[flies_in]]</f>
        <v>0.95</v>
      </c>
    </row>
    <row r="93" spans="1:31" s="4" customFormat="1" x14ac:dyDescent="0.35">
      <c r="A93" s="4">
        <v>5</v>
      </c>
      <c r="B93" s="4" t="s">
        <v>118</v>
      </c>
      <c r="C93" s="4">
        <v>2</v>
      </c>
      <c r="D93" s="5" t="s">
        <v>104</v>
      </c>
      <c r="E93" s="4" t="s">
        <v>1</v>
      </c>
      <c r="F93" s="4">
        <v>1</v>
      </c>
      <c r="G93" s="4" t="s">
        <v>113</v>
      </c>
      <c r="H93" s="12" t="s">
        <v>2</v>
      </c>
      <c r="I93" s="4">
        <v>5</v>
      </c>
      <c r="J93" s="4">
        <v>2</v>
      </c>
      <c r="K93" s="4">
        <v>2</v>
      </c>
      <c r="L93" s="4">
        <v>1</v>
      </c>
      <c r="M93" s="4">
        <v>5</v>
      </c>
      <c r="N93" s="4">
        <v>7</v>
      </c>
      <c r="O93" s="4">
        <v>3</v>
      </c>
      <c r="P93" s="4">
        <v>3</v>
      </c>
      <c r="Q93" s="4">
        <v>1</v>
      </c>
      <c r="R93" s="4">
        <v>1</v>
      </c>
      <c r="S93" s="4">
        <v>2</v>
      </c>
      <c r="T93" s="4">
        <v>2</v>
      </c>
      <c r="U93" s="4">
        <v>1</v>
      </c>
      <c r="V93" s="4">
        <v>0</v>
      </c>
      <c r="W93" s="4">
        <v>1</v>
      </c>
      <c r="X93" s="4">
        <v>0</v>
      </c>
      <c r="Y93" s="14">
        <v>6.2222222222222223</v>
      </c>
      <c r="Z93" s="4">
        <v>120</v>
      </c>
      <c r="AA93" s="4">
        <v>36</v>
      </c>
      <c r="AB93" s="24">
        <v>15.166666666666666</v>
      </c>
      <c r="AC93" s="24">
        <v>18.216666666666665</v>
      </c>
      <c r="AD93" s="24">
        <v>3.0499999999999989</v>
      </c>
      <c r="AE93" s="25">
        <f>Table3[[#This Row],[flies_out]]/Table3[[#This Row],[flies_in]]</f>
        <v>0.3</v>
      </c>
    </row>
    <row r="94" spans="1:31" s="4" customFormat="1" x14ac:dyDescent="0.35">
      <c r="A94" s="4">
        <v>5</v>
      </c>
      <c r="B94" s="4" t="s">
        <v>118</v>
      </c>
      <c r="C94" s="4">
        <v>2</v>
      </c>
      <c r="D94" s="5" t="s">
        <v>104</v>
      </c>
      <c r="E94" s="4" t="s">
        <v>1</v>
      </c>
      <c r="F94" s="4">
        <v>2</v>
      </c>
      <c r="G94" s="4" t="s">
        <v>1</v>
      </c>
      <c r="H94" s="12" t="s">
        <v>0</v>
      </c>
      <c r="I94" s="4">
        <v>12</v>
      </c>
      <c r="J94" s="4">
        <v>24</v>
      </c>
      <c r="K94" s="4">
        <v>36</v>
      </c>
      <c r="L94" s="4">
        <v>8</v>
      </c>
      <c r="M94" s="4">
        <v>6</v>
      </c>
      <c r="N94" s="4">
        <v>15</v>
      </c>
      <c r="O94" s="4">
        <v>8</v>
      </c>
      <c r="P94" s="4">
        <v>11</v>
      </c>
      <c r="Q94" s="4">
        <v>5</v>
      </c>
      <c r="R94" s="4">
        <v>0</v>
      </c>
      <c r="S94" s="4">
        <v>4</v>
      </c>
      <c r="T94" s="4">
        <v>1</v>
      </c>
      <c r="U94" s="4">
        <v>2</v>
      </c>
      <c r="V94" s="4">
        <v>0</v>
      </c>
      <c r="W94" s="4">
        <v>1</v>
      </c>
      <c r="X94" s="4">
        <v>1</v>
      </c>
      <c r="Y94" s="14">
        <v>4.6417910447761193</v>
      </c>
      <c r="Z94" s="4">
        <v>140</v>
      </c>
      <c r="AA94" s="4">
        <v>134</v>
      </c>
      <c r="AB94" s="24">
        <v>15.166666666666666</v>
      </c>
      <c r="AC94" s="24">
        <v>18.333333333333332</v>
      </c>
      <c r="AD94" s="24">
        <v>3.1666666666666661</v>
      </c>
      <c r="AE94" s="25">
        <f>Table3[[#This Row],[flies_out]]/Table3[[#This Row],[flies_in]]</f>
        <v>0.95714285714285718</v>
      </c>
    </row>
    <row r="95" spans="1:31" s="4" customFormat="1" x14ac:dyDescent="0.35">
      <c r="A95" s="4">
        <v>5</v>
      </c>
      <c r="B95" s="4" t="s">
        <v>118</v>
      </c>
      <c r="C95" s="4">
        <v>2</v>
      </c>
      <c r="D95" s="5" t="s">
        <v>104</v>
      </c>
      <c r="E95" s="4" t="s">
        <v>1</v>
      </c>
      <c r="F95" s="4">
        <v>2</v>
      </c>
      <c r="G95" s="4" t="s">
        <v>114</v>
      </c>
      <c r="H95" s="12" t="s">
        <v>2</v>
      </c>
      <c r="I95" s="4">
        <v>0</v>
      </c>
      <c r="J95" s="4">
        <v>1</v>
      </c>
      <c r="K95" s="4">
        <v>2</v>
      </c>
      <c r="L95" s="4">
        <v>0</v>
      </c>
      <c r="M95" s="4">
        <v>2</v>
      </c>
      <c r="N95" s="4">
        <v>3</v>
      </c>
      <c r="O95" s="4">
        <v>3</v>
      </c>
      <c r="P95" s="4">
        <v>4</v>
      </c>
      <c r="Q95" s="4">
        <v>6</v>
      </c>
      <c r="R95" s="4">
        <v>1</v>
      </c>
      <c r="S95" s="4">
        <v>0</v>
      </c>
      <c r="T95" s="4">
        <v>1</v>
      </c>
      <c r="U95" s="4">
        <v>0</v>
      </c>
      <c r="V95" s="4">
        <v>1</v>
      </c>
      <c r="W95" s="4">
        <v>2</v>
      </c>
      <c r="X95" s="4">
        <v>0</v>
      </c>
      <c r="Y95" s="14">
        <v>8.0384615384615383</v>
      </c>
      <c r="Z95" s="4">
        <v>100</v>
      </c>
      <c r="AA95" s="4">
        <v>26</v>
      </c>
      <c r="AB95" s="24">
        <v>15.166666666666666</v>
      </c>
      <c r="AC95" s="24">
        <v>18.483333333333334</v>
      </c>
      <c r="AD95" s="24">
        <v>3.3166666666666682</v>
      </c>
      <c r="AE95" s="25">
        <f>Table3[[#This Row],[flies_out]]/Table3[[#This Row],[flies_in]]</f>
        <v>0.26</v>
      </c>
    </row>
    <row r="96" spans="1:31" s="4" customFormat="1" x14ac:dyDescent="0.35">
      <c r="A96" s="4">
        <v>5</v>
      </c>
      <c r="B96" s="4" t="s">
        <v>118</v>
      </c>
      <c r="C96" s="4">
        <v>2</v>
      </c>
      <c r="D96" s="5" t="s">
        <v>104</v>
      </c>
      <c r="E96" s="4" t="s">
        <v>1</v>
      </c>
      <c r="F96" s="4">
        <v>3</v>
      </c>
      <c r="G96" s="4" t="s">
        <v>112</v>
      </c>
      <c r="H96" s="12" t="s">
        <v>2</v>
      </c>
      <c r="I96" s="4">
        <v>1</v>
      </c>
      <c r="J96" s="4">
        <v>0</v>
      </c>
      <c r="K96" s="4">
        <v>10</v>
      </c>
      <c r="L96" s="4">
        <v>1</v>
      </c>
      <c r="M96" s="4">
        <v>2</v>
      </c>
      <c r="N96" s="4">
        <v>2</v>
      </c>
      <c r="O96" s="4">
        <v>5</v>
      </c>
      <c r="P96" s="4">
        <v>9</v>
      </c>
      <c r="Q96" s="4">
        <v>4</v>
      </c>
      <c r="R96" s="4">
        <v>10</v>
      </c>
      <c r="S96" s="4">
        <v>42</v>
      </c>
      <c r="T96" s="4">
        <v>3</v>
      </c>
      <c r="U96" s="4">
        <v>17</v>
      </c>
      <c r="V96" s="4">
        <v>4</v>
      </c>
      <c r="W96" s="4">
        <v>6</v>
      </c>
      <c r="X96" s="4">
        <v>2</v>
      </c>
      <c r="Y96" s="14">
        <v>10.14406779661017</v>
      </c>
      <c r="Z96" s="4">
        <v>120</v>
      </c>
      <c r="AA96" s="4">
        <v>118</v>
      </c>
      <c r="AB96" s="24">
        <v>18.833333333333332</v>
      </c>
      <c r="AC96" s="24">
        <v>21.016666666666666</v>
      </c>
      <c r="AD96" s="24">
        <v>2.1833333333333336</v>
      </c>
      <c r="AE96" s="25">
        <f>Table3[[#This Row],[flies_out]]/Table3[[#This Row],[flies_in]]</f>
        <v>0.98333333333333328</v>
      </c>
    </row>
    <row r="97" spans="1:31" s="4" customFormat="1" x14ac:dyDescent="0.35">
      <c r="A97" s="4">
        <v>5</v>
      </c>
      <c r="B97" s="4" t="s">
        <v>118</v>
      </c>
      <c r="C97" s="4">
        <v>2</v>
      </c>
      <c r="D97" s="5" t="s">
        <v>104</v>
      </c>
      <c r="E97" s="4" t="s">
        <v>1</v>
      </c>
      <c r="F97" s="4">
        <v>3</v>
      </c>
      <c r="G97" s="4" t="s">
        <v>113</v>
      </c>
      <c r="H97" s="12" t="s">
        <v>0</v>
      </c>
      <c r="I97" s="4">
        <v>5</v>
      </c>
      <c r="J97" s="4">
        <v>10</v>
      </c>
      <c r="K97" s="4">
        <v>2</v>
      </c>
      <c r="L97" s="4">
        <v>2</v>
      </c>
      <c r="M97" s="4">
        <v>6</v>
      </c>
      <c r="N97" s="4">
        <v>3</v>
      </c>
      <c r="O97" s="4">
        <v>3</v>
      </c>
      <c r="P97" s="4">
        <v>14</v>
      </c>
      <c r="Q97" s="4">
        <v>7</v>
      </c>
      <c r="R97" s="4">
        <v>11</v>
      </c>
      <c r="S97" s="4">
        <v>12</v>
      </c>
      <c r="T97" s="4">
        <v>5</v>
      </c>
      <c r="U97" s="4">
        <v>6</v>
      </c>
      <c r="V97" s="4">
        <v>4</v>
      </c>
      <c r="W97" s="4">
        <v>3</v>
      </c>
      <c r="X97" s="4">
        <v>1</v>
      </c>
      <c r="Y97" s="14">
        <v>8.2978723404255312</v>
      </c>
      <c r="Z97" s="4">
        <v>120</v>
      </c>
      <c r="AA97" s="4">
        <v>94</v>
      </c>
      <c r="AB97" s="24">
        <v>18.833333333333332</v>
      </c>
      <c r="AC97" s="24">
        <v>21.25</v>
      </c>
      <c r="AD97" s="24">
        <v>2.4166666666666679</v>
      </c>
      <c r="AE97" s="25">
        <f>Table3[[#This Row],[flies_out]]/Table3[[#This Row],[flies_in]]</f>
        <v>0.78333333333333333</v>
      </c>
    </row>
    <row r="98" spans="1:31" s="4" customFormat="1" x14ac:dyDescent="0.35">
      <c r="A98" s="4">
        <v>5</v>
      </c>
      <c r="B98" s="4" t="s">
        <v>118</v>
      </c>
      <c r="C98" s="4">
        <v>2</v>
      </c>
      <c r="D98" s="5" t="s">
        <v>104</v>
      </c>
      <c r="E98" s="4" t="s">
        <v>1</v>
      </c>
      <c r="F98" s="4">
        <v>4</v>
      </c>
      <c r="G98" s="4" t="s">
        <v>1</v>
      </c>
      <c r="H98" s="12" t="s">
        <v>2</v>
      </c>
      <c r="I98" s="4">
        <v>3</v>
      </c>
      <c r="J98" s="4">
        <v>6</v>
      </c>
      <c r="K98" s="4">
        <v>14</v>
      </c>
      <c r="L98" s="4">
        <v>1</v>
      </c>
      <c r="M98" s="4">
        <v>6</v>
      </c>
      <c r="N98" s="4">
        <v>5</v>
      </c>
      <c r="O98" s="4">
        <v>6</v>
      </c>
      <c r="P98" s="4">
        <v>4</v>
      </c>
      <c r="Q98" s="4">
        <v>0</v>
      </c>
      <c r="R98" s="4">
        <v>5</v>
      </c>
      <c r="S98" s="4">
        <v>0</v>
      </c>
      <c r="T98" s="4">
        <v>0</v>
      </c>
      <c r="U98" s="4">
        <v>2</v>
      </c>
      <c r="V98" s="4">
        <v>0</v>
      </c>
      <c r="W98" s="4">
        <v>0</v>
      </c>
      <c r="X98" s="4">
        <v>0</v>
      </c>
      <c r="Y98" s="14">
        <v>5.2115384615384617</v>
      </c>
      <c r="Z98" s="4">
        <v>120</v>
      </c>
      <c r="AA98" s="4">
        <v>52</v>
      </c>
      <c r="AB98" s="24">
        <v>18.833333333333329</v>
      </c>
      <c r="AC98" s="24">
        <v>21.65</v>
      </c>
      <c r="AD98" s="24">
        <v>2.81666666666667</v>
      </c>
      <c r="AE98" s="25">
        <f>Table3[[#This Row],[flies_out]]/Table3[[#This Row],[flies_in]]</f>
        <v>0.43333333333333335</v>
      </c>
    </row>
    <row r="99" spans="1:31" s="4" customFormat="1" x14ac:dyDescent="0.35">
      <c r="A99" s="4">
        <v>5</v>
      </c>
      <c r="B99" s="4" t="s">
        <v>118</v>
      </c>
      <c r="C99" s="4">
        <v>2</v>
      </c>
      <c r="D99" s="5" t="s">
        <v>104</v>
      </c>
      <c r="E99" s="4" t="s">
        <v>1</v>
      </c>
      <c r="F99" s="4">
        <v>4</v>
      </c>
      <c r="G99" s="4" t="s">
        <v>114</v>
      </c>
      <c r="H99" s="12" t="s">
        <v>0</v>
      </c>
      <c r="I99" s="4">
        <v>1</v>
      </c>
      <c r="J99" s="4">
        <v>3</v>
      </c>
      <c r="K99" s="4">
        <v>0</v>
      </c>
      <c r="L99" s="4">
        <v>7</v>
      </c>
      <c r="M99" s="4">
        <v>14</v>
      </c>
      <c r="N99" s="4">
        <v>6</v>
      </c>
      <c r="O99" s="4">
        <v>1</v>
      </c>
      <c r="P99" s="4">
        <v>2</v>
      </c>
      <c r="Q99" s="4">
        <v>4</v>
      </c>
      <c r="R99" s="4">
        <v>9</v>
      </c>
      <c r="S99" s="4">
        <v>0</v>
      </c>
      <c r="T99" s="4">
        <v>2</v>
      </c>
      <c r="U99" s="4">
        <v>3</v>
      </c>
      <c r="V99" s="4">
        <v>6</v>
      </c>
      <c r="W99" s="4">
        <v>2</v>
      </c>
      <c r="X99" s="4">
        <v>0</v>
      </c>
      <c r="Y99" s="14">
        <v>7.7833333333333332</v>
      </c>
      <c r="Z99" s="4">
        <v>120</v>
      </c>
      <c r="AA99" s="16">
        <v>60</v>
      </c>
      <c r="AB99" s="24">
        <v>18.833333333333329</v>
      </c>
      <c r="AC99" s="24">
        <v>21.833333333333332</v>
      </c>
      <c r="AD99" s="24">
        <v>3.0000000000000036</v>
      </c>
      <c r="AE99" s="25">
        <f>Table3[[#This Row],[flies_out]]/Table3[[#This Row],[flies_in]]</f>
        <v>0.5</v>
      </c>
    </row>
    <row r="100" spans="1:31" x14ac:dyDescent="0.35">
      <c r="A100">
        <v>6</v>
      </c>
      <c r="B100" t="s">
        <v>117</v>
      </c>
      <c r="C100">
        <v>1</v>
      </c>
      <c r="D100" s="5" t="s">
        <v>104</v>
      </c>
      <c r="E100" t="s">
        <v>3</v>
      </c>
      <c r="F100">
        <v>1</v>
      </c>
      <c r="G100" t="s">
        <v>112</v>
      </c>
      <c r="H100" s="11" t="s">
        <v>0</v>
      </c>
      <c r="I100">
        <v>0</v>
      </c>
      <c r="J100">
        <v>4</v>
      </c>
      <c r="K100">
        <v>3</v>
      </c>
      <c r="L100">
        <v>5</v>
      </c>
      <c r="M100">
        <v>20</v>
      </c>
      <c r="N100">
        <v>4</v>
      </c>
      <c r="O100">
        <v>13</v>
      </c>
      <c r="P100">
        <v>10</v>
      </c>
      <c r="Q100">
        <v>13</v>
      </c>
      <c r="R100">
        <v>6</v>
      </c>
      <c r="S100">
        <v>6</v>
      </c>
      <c r="T100">
        <v>7</v>
      </c>
      <c r="U100">
        <v>0</v>
      </c>
      <c r="V100">
        <v>4</v>
      </c>
      <c r="W100">
        <v>4</v>
      </c>
      <c r="X100">
        <v>0</v>
      </c>
      <c r="Y100" s="15">
        <v>7.8282828282828278</v>
      </c>
      <c r="Z100">
        <v>120</v>
      </c>
      <c r="AA100">
        <v>99</v>
      </c>
      <c r="AB100" s="25">
        <v>9.4666666666666668</v>
      </c>
      <c r="AC100" s="25">
        <v>11.716666666666667</v>
      </c>
      <c r="AD100" s="25">
        <v>2.25</v>
      </c>
      <c r="AE100" s="25">
        <f>Table3[[#This Row],[flies_out]]/Table3[[#This Row],[flies_in]]</f>
        <v>0.82499999999999996</v>
      </c>
    </row>
    <row r="101" spans="1:31" x14ac:dyDescent="0.35">
      <c r="A101">
        <v>6</v>
      </c>
      <c r="B101" t="s">
        <v>117</v>
      </c>
      <c r="C101">
        <v>1</v>
      </c>
      <c r="D101" s="23" t="s">
        <v>104</v>
      </c>
      <c r="E101" t="s">
        <v>3</v>
      </c>
      <c r="F101">
        <v>1</v>
      </c>
      <c r="G101" t="s">
        <v>113</v>
      </c>
      <c r="H101" s="11" t="s">
        <v>2</v>
      </c>
      <c r="I101">
        <v>1</v>
      </c>
      <c r="J101">
        <v>6</v>
      </c>
      <c r="K101">
        <v>6</v>
      </c>
      <c r="L101">
        <v>2</v>
      </c>
      <c r="M101">
        <v>2</v>
      </c>
      <c r="N101">
        <v>4</v>
      </c>
      <c r="O101">
        <v>4</v>
      </c>
      <c r="P101">
        <v>4</v>
      </c>
      <c r="Q101">
        <v>2</v>
      </c>
      <c r="R101">
        <v>9</v>
      </c>
      <c r="S101">
        <v>2</v>
      </c>
      <c r="T101">
        <v>3</v>
      </c>
      <c r="U101">
        <v>2</v>
      </c>
      <c r="V101">
        <v>3</v>
      </c>
      <c r="W101">
        <v>2</v>
      </c>
      <c r="X101">
        <v>3</v>
      </c>
      <c r="Y101" s="15">
        <v>8.0909090909090917</v>
      </c>
      <c r="Z101">
        <v>120</v>
      </c>
      <c r="AA101">
        <v>55</v>
      </c>
      <c r="AB101" s="25">
        <v>9.4666666666666668</v>
      </c>
      <c r="AC101" s="25">
        <v>11.833333333333334</v>
      </c>
      <c r="AD101" s="25">
        <v>2.3666666666666671</v>
      </c>
      <c r="AE101" s="25">
        <f>Table3[[#This Row],[flies_out]]/Table3[[#This Row],[flies_in]]</f>
        <v>0.45833333333333331</v>
      </c>
    </row>
    <row r="102" spans="1:31" x14ac:dyDescent="0.35">
      <c r="A102">
        <v>6</v>
      </c>
      <c r="B102" t="s">
        <v>117</v>
      </c>
      <c r="C102">
        <v>1</v>
      </c>
      <c r="D102" s="23" t="s">
        <v>104</v>
      </c>
      <c r="E102" t="s">
        <v>3</v>
      </c>
      <c r="F102">
        <v>1</v>
      </c>
      <c r="G102" t="s">
        <v>1</v>
      </c>
      <c r="H102" s="11" t="s">
        <v>2</v>
      </c>
      <c r="I102">
        <v>4</v>
      </c>
      <c r="J102">
        <v>2</v>
      </c>
      <c r="K102">
        <v>6</v>
      </c>
      <c r="L102">
        <v>3</v>
      </c>
      <c r="M102">
        <v>5</v>
      </c>
      <c r="N102">
        <v>4</v>
      </c>
      <c r="O102">
        <v>2</v>
      </c>
      <c r="P102">
        <v>2</v>
      </c>
      <c r="Q102">
        <v>1</v>
      </c>
      <c r="R102">
        <v>3</v>
      </c>
      <c r="S102">
        <v>2</v>
      </c>
      <c r="T102">
        <v>1</v>
      </c>
      <c r="U102">
        <v>1</v>
      </c>
      <c r="V102">
        <v>1</v>
      </c>
      <c r="W102">
        <v>1</v>
      </c>
      <c r="X102">
        <v>0</v>
      </c>
      <c r="Y102" s="15">
        <v>6.1052631578947372</v>
      </c>
      <c r="Z102">
        <v>120</v>
      </c>
      <c r="AA102">
        <v>38</v>
      </c>
      <c r="AB102" s="25">
        <v>9.4666666666666668</v>
      </c>
      <c r="AC102" s="25">
        <v>12.116666666666667</v>
      </c>
      <c r="AD102" s="25">
        <v>2.6500000000000004</v>
      </c>
      <c r="AE102" s="25">
        <f>Table3[[#This Row],[flies_out]]/Table3[[#This Row],[flies_in]]</f>
        <v>0.31666666666666665</v>
      </c>
    </row>
    <row r="103" spans="1:31" x14ac:dyDescent="0.35">
      <c r="A103">
        <v>6</v>
      </c>
      <c r="B103" t="s">
        <v>117</v>
      </c>
      <c r="C103">
        <v>1</v>
      </c>
      <c r="D103" s="23" t="s">
        <v>104</v>
      </c>
      <c r="E103" t="s">
        <v>3</v>
      </c>
      <c r="F103">
        <v>1</v>
      </c>
      <c r="G103" t="s">
        <v>114</v>
      </c>
      <c r="H103" s="11" t="s">
        <v>0</v>
      </c>
      <c r="I103">
        <v>1</v>
      </c>
      <c r="J103">
        <v>4</v>
      </c>
      <c r="K103">
        <v>5</v>
      </c>
      <c r="L103">
        <v>4</v>
      </c>
      <c r="M103">
        <v>6</v>
      </c>
      <c r="N103">
        <v>7</v>
      </c>
      <c r="O103">
        <v>7</v>
      </c>
      <c r="P103">
        <v>7</v>
      </c>
      <c r="Q103">
        <v>9</v>
      </c>
      <c r="R103">
        <v>1</v>
      </c>
      <c r="S103">
        <v>2</v>
      </c>
      <c r="T103">
        <v>1</v>
      </c>
      <c r="U103">
        <v>0</v>
      </c>
      <c r="V103">
        <v>2</v>
      </c>
      <c r="W103">
        <v>1</v>
      </c>
      <c r="X103">
        <v>0</v>
      </c>
      <c r="Y103" s="15">
        <v>6.7543859649122808</v>
      </c>
      <c r="Z103">
        <v>120</v>
      </c>
      <c r="AA103">
        <v>57</v>
      </c>
      <c r="AB103" s="25">
        <v>9.4666666666666668</v>
      </c>
      <c r="AC103" s="25">
        <v>12.266666666666666</v>
      </c>
      <c r="AD103" s="25">
        <v>2.7999999999999989</v>
      </c>
      <c r="AE103" s="25">
        <f>Table3[[#This Row],[flies_out]]/Table3[[#This Row],[flies_in]]</f>
        <v>0.47499999999999998</v>
      </c>
    </row>
    <row r="104" spans="1:31" x14ac:dyDescent="0.35">
      <c r="A104">
        <v>6</v>
      </c>
      <c r="B104" t="s">
        <v>118</v>
      </c>
      <c r="C104">
        <v>1</v>
      </c>
      <c r="D104" s="23" t="s">
        <v>104</v>
      </c>
      <c r="E104" t="s">
        <v>3</v>
      </c>
      <c r="F104">
        <v>2</v>
      </c>
      <c r="G104" t="s">
        <v>112</v>
      </c>
      <c r="H104" s="11" t="s">
        <v>0</v>
      </c>
      <c r="I104">
        <v>0</v>
      </c>
      <c r="J104">
        <v>2</v>
      </c>
      <c r="K104">
        <v>2</v>
      </c>
      <c r="L104">
        <v>3</v>
      </c>
      <c r="M104">
        <v>2</v>
      </c>
      <c r="N104">
        <v>4</v>
      </c>
      <c r="O104">
        <v>8</v>
      </c>
      <c r="P104">
        <v>13</v>
      </c>
      <c r="Q104">
        <v>9</v>
      </c>
      <c r="R104">
        <v>9</v>
      </c>
      <c r="S104">
        <v>13</v>
      </c>
      <c r="T104">
        <v>15</v>
      </c>
      <c r="U104">
        <v>12</v>
      </c>
      <c r="V104">
        <v>8</v>
      </c>
      <c r="W104">
        <v>11</v>
      </c>
      <c r="X104">
        <v>3</v>
      </c>
      <c r="Y104" s="15">
        <v>10.447368421052632</v>
      </c>
      <c r="Z104">
        <v>120</v>
      </c>
      <c r="AA104">
        <v>114</v>
      </c>
      <c r="AB104" s="25">
        <v>12.516666666666667</v>
      </c>
      <c r="AC104" s="25">
        <v>17.5</v>
      </c>
      <c r="AD104" s="25">
        <v>4.9833333333333325</v>
      </c>
      <c r="AE104" s="25">
        <f>Table3[[#This Row],[flies_out]]/Table3[[#This Row],[flies_in]]</f>
        <v>0.95</v>
      </c>
    </row>
    <row r="105" spans="1:31" x14ac:dyDescent="0.35">
      <c r="A105">
        <v>6</v>
      </c>
      <c r="B105" t="s">
        <v>118</v>
      </c>
      <c r="C105">
        <v>1</v>
      </c>
      <c r="D105" s="23" t="s">
        <v>104</v>
      </c>
      <c r="E105" t="s">
        <v>3</v>
      </c>
      <c r="F105">
        <v>2</v>
      </c>
      <c r="G105" t="s">
        <v>113</v>
      </c>
      <c r="H105" s="11" t="s">
        <v>2</v>
      </c>
      <c r="I105">
        <v>10</v>
      </c>
      <c r="J105">
        <v>11</v>
      </c>
      <c r="K105">
        <v>10</v>
      </c>
      <c r="L105">
        <v>12</v>
      </c>
      <c r="M105">
        <v>5</v>
      </c>
      <c r="N105">
        <v>6</v>
      </c>
      <c r="O105">
        <v>6</v>
      </c>
      <c r="P105">
        <v>6</v>
      </c>
      <c r="Q105">
        <v>4</v>
      </c>
      <c r="R105">
        <v>12</v>
      </c>
      <c r="S105">
        <v>8</v>
      </c>
      <c r="T105">
        <v>9</v>
      </c>
      <c r="U105">
        <v>7</v>
      </c>
      <c r="V105">
        <v>3</v>
      </c>
      <c r="W105">
        <v>5</v>
      </c>
      <c r="X105">
        <v>4</v>
      </c>
      <c r="Y105" s="15">
        <v>7.5</v>
      </c>
      <c r="Z105">
        <v>120</v>
      </c>
      <c r="AA105">
        <v>118</v>
      </c>
      <c r="AB105" s="25">
        <v>12.516666666666667</v>
      </c>
      <c r="AC105" s="25">
        <v>17.283333333333331</v>
      </c>
      <c r="AD105" s="25">
        <v>4.7666666666666639</v>
      </c>
      <c r="AE105" s="25">
        <f>Table3[[#This Row],[flies_out]]/Table3[[#This Row],[flies_in]]</f>
        <v>0.98333333333333328</v>
      </c>
    </row>
    <row r="106" spans="1:31" x14ac:dyDescent="0.35">
      <c r="A106">
        <v>6</v>
      </c>
      <c r="B106" t="s">
        <v>118</v>
      </c>
      <c r="C106">
        <v>1</v>
      </c>
      <c r="D106" s="23" t="s">
        <v>104</v>
      </c>
      <c r="E106" t="s">
        <v>3</v>
      </c>
      <c r="F106">
        <v>2</v>
      </c>
      <c r="G106" t="s">
        <v>1</v>
      </c>
      <c r="H106" s="11" t="s">
        <v>2</v>
      </c>
      <c r="I106">
        <v>5</v>
      </c>
      <c r="J106">
        <v>13</v>
      </c>
      <c r="K106">
        <v>11</v>
      </c>
      <c r="L106">
        <v>18</v>
      </c>
      <c r="M106">
        <v>10</v>
      </c>
      <c r="N106">
        <v>8</v>
      </c>
      <c r="O106">
        <v>5</v>
      </c>
      <c r="P106">
        <v>5</v>
      </c>
      <c r="Q106">
        <v>4</v>
      </c>
      <c r="R106">
        <v>9</v>
      </c>
      <c r="S106">
        <v>6</v>
      </c>
      <c r="T106">
        <v>5</v>
      </c>
      <c r="U106">
        <v>3</v>
      </c>
      <c r="V106">
        <v>0</v>
      </c>
      <c r="W106">
        <v>2</v>
      </c>
      <c r="X106">
        <v>0</v>
      </c>
      <c r="Y106" s="15">
        <v>6.0576923076923075</v>
      </c>
      <c r="Z106">
        <v>120</v>
      </c>
      <c r="AA106">
        <v>104</v>
      </c>
      <c r="AB106" s="25">
        <v>12.516666666666667</v>
      </c>
      <c r="AC106" s="25">
        <v>17.100000000000001</v>
      </c>
      <c r="AD106" s="25">
        <v>4.5833333333333339</v>
      </c>
      <c r="AE106" s="25">
        <f>Table3[[#This Row],[flies_out]]/Table3[[#This Row],[flies_in]]</f>
        <v>0.8666666666666667</v>
      </c>
    </row>
    <row r="107" spans="1:31" x14ac:dyDescent="0.35">
      <c r="A107">
        <v>6</v>
      </c>
      <c r="B107" t="s">
        <v>118</v>
      </c>
      <c r="C107">
        <v>1</v>
      </c>
      <c r="D107" s="23" t="s">
        <v>104</v>
      </c>
      <c r="E107" t="s">
        <v>3</v>
      </c>
      <c r="F107">
        <v>2</v>
      </c>
      <c r="G107" t="s">
        <v>114</v>
      </c>
      <c r="H107" s="11" t="s">
        <v>0</v>
      </c>
      <c r="I107">
        <v>3</v>
      </c>
      <c r="J107">
        <v>15</v>
      </c>
      <c r="K107">
        <v>8</v>
      </c>
      <c r="L107">
        <v>16</v>
      </c>
      <c r="M107">
        <v>17</v>
      </c>
      <c r="N107">
        <v>11</v>
      </c>
      <c r="O107">
        <v>16</v>
      </c>
      <c r="P107">
        <v>13</v>
      </c>
      <c r="Q107">
        <v>5</v>
      </c>
      <c r="R107">
        <v>7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 s="15">
        <v>5.4821428571428568</v>
      </c>
      <c r="Z107">
        <v>120</v>
      </c>
      <c r="AA107">
        <v>112</v>
      </c>
      <c r="AB107" s="25">
        <v>12.516666666666667</v>
      </c>
      <c r="AC107" s="25">
        <v>16.916666666666668</v>
      </c>
      <c r="AD107" s="25">
        <v>4.4000000000000004</v>
      </c>
      <c r="AE107" s="25">
        <f>Table3[[#This Row],[flies_out]]/Table3[[#This Row],[flies_in]]</f>
        <v>0.93333333333333335</v>
      </c>
    </row>
    <row r="108" spans="1:31" x14ac:dyDescent="0.35">
      <c r="A108">
        <v>6</v>
      </c>
      <c r="B108" t="s">
        <v>117</v>
      </c>
      <c r="C108">
        <v>2</v>
      </c>
      <c r="D108" s="23" t="s">
        <v>104</v>
      </c>
      <c r="E108" t="s">
        <v>3</v>
      </c>
      <c r="F108">
        <v>3</v>
      </c>
      <c r="G108" t="s">
        <v>112</v>
      </c>
      <c r="H108" s="11" t="s">
        <v>0</v>
      </c>
      <c r="I108">
        <v>1</v>
      </c>
      <c r="J108">
        <v>1</v>
      </c>
      <c r="K108">
        <v>2</v>
      </c>
      <c r="L108">
        <v>0</v>
      </c>
      <c r="M108">
        <v>12</v>
      </c>
      <c r="N108">
        <v>4</v>
      </c>
      <c r="O108">
        <v>9</v>
      </c>
      <c r="P108">
        <v>16</v>
      </c>
      <c r="Q108">
        <v>3</v>
      </c>
      <c r="R108">
        <v>12</v>
      </c>
      <c r="S108">
        <v>26</v>
      </c>
      <c r="T108">
        <v>4</v>
      </c>
      <c r="U108">
        <v>4</v>
      </c>
      <c r="V108">
        <v>6</v>
      </c>
      <c r="W108">
        <v>10</v>
      </c>
      <c r="X108">
        <v>6</v>
      </c>
      <c r="Y108" s="15">
        <v>9.887931034482758</v>
      </c>
      <c r="Z108">
        <v>120</v>
      </c>
      <c r="AA108">
        <v>116</v>
      </c>
      <c r="AB108" s="25">
        <v>9.25</v>
      </c>
      <c r="AC108" s="25">
        <v>12.633333333333333</v>
      </c>
      <c r="AD108" s="25">
        <v>3.3833333333333329</v>
      </c>
      <c r="AE108" s="25">
        <f>Table3[[#This Row],[flies_out]]/Table3[[#This Row],[flies_in]]</f>
        <v>0.96666666666666667</v>
      </c>
    </row>
    <row r="109" spans="1:31" x14ac:dyDescent="0.35">
      <c r="A109">
        <v>6</v>
      </c>
      <c r="B109" t="s">
        <v>117</v>
      </c>
      <c r="C109">
        <v>2</v>
      </c>
      <c r="D109" s="23" t="s">
        <v>104</v>
      </c>
      <c r="E109" t="s">
        <v>3</v>
      </c>
      <c r="F109">
        <v>3</v>
      </c>
      <c r="G109" t="s">
        <v>113</v>
      </c>
      <c r="H109" s="11" t="s">
        <v>2</v>
      </c>
      <c r="I109">
        <v>4</v>
      </c>
      <c r="J109">
        <v>7</v>
      </c>
      <c r="K109">
        <v>4</v>
      </c>
      <c r="L109">
        <v>15</v>
      </c>
      <c r="M109">
        <v>1</v>
      </c>
      <c r="N109">
        <v>2</v>
      </c>
      <c r="O109">
        <v>5</v>
      </c>
      <c r="P109">
        <v>12</v>
      </c>
      <c r="Q109">
        <v>6</v>
      </c>
      <c r="R109">
        <v>3</v>
      </c>
      <c r="S109">
        <v>8</v>
      </c>
      <c r="T109">
        <v>6</v>
      </c>
      <c r="U109">
        <v>2</v>
      </c>
      <c r="V109">
        <v>8</v>
      </c>
      <c r="W109">
        <v>3</v>
      </c>
      <c r="X109">
        <v>2</v>
      </c>
      <c r="Y109" s="15">
        <v>7.9204545454545459</v>
      </c>
      <c r="Z109">
        <v>120</v>
      </c>
      <c r="AA109">
        <v>88</v>
      </c>
      <c r="AB109" s="25">
        <v>9.25</v>
      </c>
      <c r="AC109" s="25">
        <v>12.85</v>
      </c>
      <c r="AD109" s="25">
        <v>3.5999999999999996</v>
      </c>
      <c r="AE109" s="25">
        <f>Table3[[#This Row],[flies_out]]/Table3[[#This Row],[flies_in]]</f>
        <v>0.73333333333333328</v>
      </c>
    </row>
    <row r="110" spans="1:31" x14ac:dyDescent="0.35">
      <c r="A110">
        <v>6</v>
      </c>
      <c r="B110" t="s">
        <v>117</v>
      </c>
      <c r="C110">
        <v>2</v>
      </c>
      <c r="D110" s="23" t="s">
        <v>104</v>
      </c>
      <c r="E110" t="s">
        <v>3</v>
      </c>
      <c r="F110">
        <v>3</v>
      </c>
      <c r="G110" t="s">
        <v>1</v>
      </c>
      <c r="H110" s="11" t="s">
        <v>2</v>
      </c>
      <c r="I110">
        <v>4</v>
      </c>
      <c r="J110">
        <v>6</v>
      </c>
      <c r="K110">
        <v>8</v>
      </c>
      <c r="L110">
        <v>6</v>
      </c>
      <c r="M110">
        <v>3</v>
      </c>
      <c r="N110">
        <v>0</v>
      </c>
      <c r="O110">
        <v>6</v>
      </c>
      <c r="P110">
        <v>5</v>
      </c>
      <c r="Q110">
        <v>2</v>
      </c>
      <c r="R110">
        <v>5</v>
      </c>
      <c r="S110">
        <v>5</v>
      </c>
      <c r="T110">
        <v>6</v>
      </c>
      <c r="U110">
        <v>3</v>
      </c>
      <c r="V110">
        <v>1</v>
      </c>
      <c r="W110">
        <v>0</v>
      </c>
      <c r="X110">
        <v>0</v>
      </c>
      <c r="Y110" s="15">
        <v>6.8166666666666664</v>
      </c>
      <c r="Z110">
        <v>120</v>
      </c>
      <c r="AA110">
        <v>60</v>
      </c>
      <c r="AB110" s="25">
        <v>9.25</v>
      </c>
      <c r="AC110" s="25">
        <v>13.066666666666666</v>
      </c>
      <c r="AD110" s="25">
        <v>3.8166666666666664</v>
      </c>
      <c r="AE110" s="25">
        <f>Table3[[#This Row],[flies_out]]/Table3[[#This Row],[flies_in]]</f>
        <v>0.5</v>
      </c>
    </row>
    <row r="111" spans="1:31" x14ac:dyDescent="0.35">
      <c r="A111">
        <v>6</v>
      </c>
      <c r="B111" t="s">
        <v>117</v>
      </c>
      <c r="C111">
        <v>2</v>
      </c>
      <c r="D111" s="23" t="s">
        <v>104</v>
      </c>
      <c r="E111" t="s">
        <v>3</v>
      </c>
      <c r="F111">
        <v>3</v>
      </c>
      <c r="G111" t="s">
        <v>114</v>
      </c>
      <c r="H111" s="11" t="s">
        <v>0</v>
      </c>
      <c r="I111">
        <v>7</v>
      </c>
      <c r="J111">
        <v>11</v>
      </c>
      <c r="K111">
        <v>19</v>
      </c>
      <c r="L111">
        <v>13</v>
      </c>
      <c r="M111">
        <v>6</v>
      </c>
      <c r="N111">
        <v>17</v>
      </c>
      <c r="O111">
        <v>5</v>
      </c>
      <c r="P111">
        <v>9</v>
      </c>
      <c r="Q111">
        <v>7</v>
      </c>
      <c r="R111">
        <v>2</v>
      </c>
      <c r="S111">
        <v>2</v>
      </c>
      <c r="T111">
        <v>0</v>
      </c>
      <c r="U111">
        <v>1</v>
      </c>
      <c r="V111">
        <v>3</v>
      </c>
      <c r="W111">
        <v>0</v>
      </c>
      <c r="X111">
        <v>0</v>
      </c>
      <c r="Y111" s="15">
        <v>5.2647058823529411</v>
      </c>
      <c r="Z111">
        <v>120</v>
      </c>
      <c r="AA111">
        <v>102</v>
      </c>
      <c r="AB111" s="25">
        <v>9.25</v>
      </c>
      <c r="AC111" s="25">
        <v>13.25</v>
      </c>
      <c r="AD111" s="25">
        <v>4</v>
      </c>
      <c r="AE111" s="25">
        <f>Table3[[#This Row],[flies_out]]/Table3[[#This Row],[flies_in]]</f>
        <v>0.85</v>
      </c>
    </row>
    <row r="112" spans="1:31" x14ac:dyDescent="0.35">
      <c r="A112">
        <v>6</v>
      </c>
      <c r="B112" t="s">
        <v>118</v>
      </c>
      <c r="C112">
        <v>2</v>
      </c>
      <c r="D112" s="23" t="s">
        <v>104</v>
      </c>
      <c r="E112" t="s">
        <v>3</v>
      </c>
      <c r="F112">
        <v>4</v>
      </c>
      <c r="G112" t="s">
        <v>112</v>
      </c>
      <c r="H112" s="11" t="s">
        <v>0</v>
      </c>
      <c r="I112">
        <v>2</v>
      </c>
      <c r="J112">
        <v>0</v>
      </c>
      <c r="K112">
        <v>0</v>
      </c>
      <c r="L112">
        <v>0</v>
      </c>
      <c r="M112">
        <v>7</v>
      </c>
      <c r="N112">
        <v>4</v>
      </c>
      <c r="O112">
        <v>5</v>
      </c>
      <c r="P112">
        <v>8</v>
      </c>
      <c r="Q112">
        <v>8</v>
      </c>
      <c r="R112">
        <v>5</v>
      </c>
      <c r="S112">
        <v>6</v>
      </c>
      <c r="T112">
        <v>3</v>
      </c>
      <c r="U112">
        <v>2</v>
      </c>
      <c r="V112">
        <v>8</v>
      </c>
      <c r="W112">
        <v>17</v>
      </c>
      <c r="X112">
        <v>14</v>
      </c>
      <c r="Y112" s="15">
        <v>11.247191011235955</v>
      </c>
      <c r="Z112">
        <v>120</v>
      </c>
      <c r="AA112">
        <v>89</v>
      </c>
      <c r="AB112" s="25">
        <v>14.883333333333333</v>
      </c>
      <c r="AC112" s="25">
        <v>18.416666666666668</v>
      </c>
      <c r="AD112" s="25">
        <v>3.533333333333335</v>
      </c>
      <c r="AE112" s="25">
        <f>Table3[[#This Row],[flies_out]]/Table3[[#This Row],[flies_in]]</f>
        <v>0.7416666666666667</v>
      </c>
    </row>
    <row r="113" spans="1:31" x14ac:dyDescent="0.35">
      <c r="A113">
        <v>6</v>
      </c>
      <c r="B113" t="s">
        <v>118</v>
      </c>
      <c r="C113">
        <v>2</v>
      </c>
      <c r="D113" s="23" t="s">
        <v>104</v>
      </c>
      <c r="E113" t="s">
        <v>3</v>
      </c>
      <c r="F113">
        <v>4</v>
      </c>
      <c r="G113" t="s">
        <v>113</v>
      </c>
      <c r="H113" s="11" t="s">
        <v>2</v>
      </c>
      <c r="I113">
        <v>7</v>
      </c>
      <c r="J113">
        <v>11</v>
      </c>
      <c r="K113">
        <v>3</v>
      </c>
      <c r="L113">
        <v>0</v>
      </c>
      <c r="M113">
        <v>5</v>
      </c>
      <c r="N113">
        <v>4</v>
      </c>
      <c r="O113">
        <v>9</v>
      </c>
      <c r="P113">
        <v>11</v>
      </c>
      <c r="Q113">
        <v>5</v>
      </c>
      <c r="R113">
        <v>3</v>
      </c>
      <c r="S113">
        <v>3</v>
      </c>
      <c r="T113">
        <v>3</v>
      </c>
      <c r="U113">
        <v>2</v>
      </c>
      <c r="V113">
        <v>1</v>
      </c>
      <c r="W113">
        <v>0</v>
      </c>
      <c r="X113">
        <v>2</v>
      </c>
      <c r="Y113" s="15">
        <v>6.5797101449275361</v>
      </c>
      <c r="Z113">
        <v>120</v>
      </c>
      <c r="AA113">
        <v>69</v>
      </c>
      <c r="AB113" s="25">
        <v>14.883333333333333</v>
      </c>
      <c r="AC113" s="25">
        <v>18.283333333333331</v>
      </c>
      <c r="AD113" s="25">
        <v>3.3999999999999986</v>
      </c>
      <c r="AE113" s="25">
        <f>Table3[[#This Row],[flies_out]]/Table3[[#This Row],[flies_in]]</f>
        <v>0.57499999999999996</v>
      </c>
    </row>
    <row r="114" spans="1:31" x14ac:dyDescent="0.35">
      <c r="A114">
        <v>6</v>
      </c>
      <c r="B114" t="s">
        <v>118</v>
      </c>
      <c r="C114">
        <v>2</v>
      </c>
      <c r="D114" s="23" t="s">
        <v>104</v>
      </c>
      <c r="E114" t="s">
        <v>3</v>
      </c>
      <c r="F114">
        <v>4</v>
      </c>
      <c r="G114" t="s">
        <v>1</v>
      </c>
      <c r="H114" s="11" t="s">
        <v>2</v>
      </c>
      <c r="I114">
        <v>9</v>
      </c>
      <c r="J114">
        <v>9</v>
      </c>
      <c r="K114">
        <v>11</v>
      </c>
      <c r="L114">
        <v>6</v>
      </c>
      <c r="M114">
        <v>2</v>
      </c>
      <c r="N114">
        <v>4</v>
      </c>
      <c r="O114">
        <v>2</v>
      </c>
      <c r="P114">
        <v>5</v>
      </c>
      <c r="Q114">
        <v>1</v>
      </c>
      <c r="R114">
        <v>13</v>
      </c>
      <c r="S114">
        <v>6</v>
      </c>
      <c r="T114">
        <v>6</v>
      </c>
      <c r="U114">
        <v>5</v>
      </c>
      <c r="V114">
        <v>3</v>
      </c>
      <c r="W114">
        <v>0</v>
      </c>
      <c r="X114">
        <v>0</v>
      </c>
      <c r="Y114" s="15">
        <v>6.7804878048780486</v>
      </c>
      <c r="Z114">
        <v>120</v>
      </c>
      <c r="AA114">
        <v>82</v>
      </c>
      <c r="AB114" s="25">
        <v>14.883333333333333</v>
      </c>
      <c r="AC114" s="25">
        <v>18.083333333333332</v>
      </c>
      <c r="AD114" s="25">
        <v>3.1999999999999993</v>
      </c>
      <c r="AE114" s="25">
        <f>Table3[[#This Row],[flies_out]]/Table3[[#This Row],[flies_in]]</f>
        <v>0.68333333333333335</v>
      </c>
    </row>
    <row r="115" spans="1:31" x14ac:dyDescent="0.35">
      <c r="A115">
        <v>6</v>
      </c>
      <c r="B115" t="s">
        <v>118</v>
      </c>
      <c r="C115">
        <v>2</v>
      </c>
      <c r="D115" s="23" t="s">
        <v>104</v>
      </c>
      <c r="E115" t="s">
        <v>3</v>
      </c>
      <c r="F115">
        <v>4</v>
      </c>
      <c r="G115" t="s">
        <v>114</v>
      </c>
      <c r="H115" s="11" t="s">
        <v>0</v>
      </c>
      <c r="I115">
        <v>3</v>
      </c>
      <c r="J115">
        <v>3</v>
      </c>
      <c r="K115">
        <v>7</v>
      </c>
      <c r="L115">
        <v>5</v>
      </c>
      <c r="M115">
        <v>13</v>
      </c>
      <c r="N115">
        <v>1</v>
      </c>
      <c r="O115">
        <v>1</v>
      </c>
      <c r="P115">
        <v>5</v>
      </c>
      <c r="Q115">
        <v>3</v>
      </c>
      <c r="R115">
        <v>1</v>
      </c>
      <c r="S115">
        <v>3</v>
      </c>
      <c r="T115">
        <v>4</v>
      </c>
      <c r="U115">
        <v>0</v>
      </c>
      <c r="V115">
        <v>1</v>
      </c>
      <c r="W115">
        <v>1</v>
      </c>
      <c r="X115">
        <v>1</v>
      </c>
      <c r="Y115" s="15">
        <v>6.365384615384615</v>
      </c>
      <c r="Z115">
        <v>120</v>
      </c>
      <c r="AA115">
        <v>52</v>
      </c>
      <c r="AB115" s="25">
        <v>14.883333333333333</v>
      </c>
      <c r="AC115" s="25">
        <v>17.95</v>
      </c>
      <c r="AD115" s="25">
        <v>3.0666666666666664</v>
      </c>
      <c r="AE115" s="25">
        <f>Table3[[#This Row],[flies_out]]/Table3[[#This Row],[flies_in]]</f>
        <v>0.43333333333333335</v>
      </c>
    </row>
    <row r="116" spans="1:31" s="4" customFormat="1" x14ac:dyDescent="0.35">
      <c r="A116" s="4">
        <v>7</v>
      </c>
      <c r="B116" t="s">
        <v>117</v>
      </c>
      <c r="C116" s="4">
        <v>1</v>
      </c>
      <c r="D116" s="5" t="s">
        <v>104</v>
      </c>
      <c r="E116" s="4" t="s">
        <v>3</v>
      </c>
      <c r="F116" s="4">
        <v>2</v>
      </c>
      <c r="G116" s="4" t="s">
        <v>112</v>
      </c>
      <c r="H116" s="12" t="s">
        <v>2</v>
      </c>
      <c r="I116" s="4">
        <v>0</v>
      </c>
      <c r="J116" s="4">
        <v>0</v>
      </c>
      <c r="K116" s="4">
        <v>0</v>
      </c>
      <c r="L116" s="4">
        <v>1</v>
      </c>
      <c r="M116" s="4">
        <v>4</v>
      </c>
      <c r="N116" s="4">
        <v>3</v>
      </c>
      <c r="O116" s="4">
        <v>4</v>
      </c>
      <c r="P116" s="4">
        <v>7</v>
      </c>
      <c r="Q116" s="4">
        <v>4</v>
      </c>
      <c r="R116" s="4">
        <v>6</v>
      </c>
      <c r="S116" s="4">
        <v>4</v>
      </c>
      <c r="T116" s="4">
        <v>4</v>
      </c>
      <c r="U116" s="4">
        <v>1</v>
      </c>
      <c r="V116" s="4">
        <v>0</v>
      </c>
      <c r="W116" s="4">
        <v>6</v>
      </c>
      <c r="X116" s="4">
        <v>20</v>
      </c>
      <c r="Y116" s="14">
        <v>11.515625</v>
      </c>
      <c r="Z116" s="4">
        <v>120</v>
      </c>
      <c r="AA116" s="4">
        <v>64</v>
      </c>
      <c r="AB116" s="24">
        <v>9</v>
      </c>
      <c r="AC116" s="24">
        <v>11.116666666666667</v>
      </c>
      <c r="AD116" s="24">
        <v>2.1166666666666671</v>
      </c>
      <c r="AE116" s="25">
        <f>Table3[[#This Row],[flies_out]]/Table3[[#This Row],[flies_in]]</f>
        <v>0.53333333333333333</v>
      </c>
    </row>
    <row r="117" spans="1:31" s="4" customFormat="1" x14ac:dyDescent="0.35">
      <c r="A117" s="4">
        <v>7</v>
      </c>
      <c r="B117" t="s">
        <v>117</v>
      </c>
      <c r="C117" s="4">
        <v>1</v>
      </c>
      <c r="D117" s="5" t="s">
        <v>104</v>
      </c>
      <c r="E117" s="4" t="s">
        <v>3</v>
      </c>
      <c r="F117" s="4">
        <v>2</v>
      </c>
      <c r="G117" s="4" t="s">
        <v>113</v>
      </c>
      <c r="H117" s="12" t="s">
        <v>0</v>
      </c>
      <c r="I117" s="4">
        <v>9</v>
      </c>
      <c r="J117" s="4">
        <v>8</v>
      </c>
      <c r="K117" s="4">
        <v>3</v>
      </c>
      <c r="L117" s="4">
        <v>1</v>
      </c>
      <c r="M117" s="4">
        <v>7</v>
      </c>
      <c r="N117" s="4">
        <v>5</v>
      </c>
      <c r="O117" s="4">
        <v>3</v>
      </c>
      <c r="P117" s="4">
        <v>4</v>
      </c>
      <c r="Q117" s="4">
        <v>2</v>
      </c>
      <c r="R117" s="4">
        <v>4</v>
      </c>
      <c r="S117" s="4">
        <v>6</v>
      </c>
      <c r="T117" s="4">
        <v>12</v>
      </c>
      <c r="U117" s="4">
        <v>3</v>
      </c>
      <c r="V117" s="4">
        <v>3</v>
      </c>
      <c r="W117" s="4">
        <v>3</v>
      </c>
      <c r="X117" s="4">
        <v>2</v>
      </c>
      <c r="Y117" s="14">
        <v>7.76</v>
      </c>
      <c r="Z117" s="4">
        <v>120</v>
      </c>
      <c r="AA117" s="4">
        <v>75</v>
      </c>
      <c r="AB117" s="24">
        <v>9</v>
      </c>
      <c r="AC117" s="24">
        <v>11.316666666666666</v>
      </c>
      <c r="AD117" s="24">
        <v>2.3166666666666664</v>
      </c>
      <c r="AE117" s="25">
        <f>Table3[[#This Row],[flies_out]]/Table3[[#This Row],[flies_in]]</f>
        <v>0.625</v>
      </c>
    </row>
    <row r="118" spans="1:31" s="4" customFormat="1" x14ac:dyDescent="0.35">
      <c r="A118" s="4">
        <v>7</v>
      </c>
      <c r="B118" t="s">
        <v>117</v>
      </c>
      <c r="C118" s="4">
        <v>1</v>
      </c>
      <c r="D118" s="5" t="s">
        <v>104</v>
      </c>
      <c r="E118" s="4" t="s">
        <v>3</v>
      </c>
      <c r="F118" s="4">
        <v>2</v>
      </c>
      <c r="G118" s="4" t="s">
        <v>1</v>
      </c>
      <c r="H118" s="12" t="s">
        <v>0</v>
      </c>
      <c r="I118" s="4">
        <v>6</v>
      </c>
      <c r="J118" s="4">
        <v>5</v>
      </c>
      <c r="K118" s="4">
        <v>21</v>
      </c>
      <c r="L118" s="4">
        <v>6</v>
      </c>
      <c r="M118" s="4">
        <v>5</v>
      </c>
      <c r="N118" s="4">
        <v>8</v>
      </c>
      <c r="O118" s="4">
        <v>10</v>
      </c>
      <c r="P118" s="4">
        <v>3</v>
      </c>
      <c r="Q118" s="4">
        <v>3</v>
      </c>
      <c r="R118" s="4">
        <v>6</v>
      </c>
      <c r="S118" s="4">
        <v>3</v>
      </c>
      <c r="T118" s="4">
        <v>0</v>
      </c>
      <c r="U118" s="4">
        <v>0</v>
      </c>
      <c r="V118" s="4">
        <v>1</v>
      </c>
      <c r="W118" s="4">
        <v>0</v>
      </c>
      <c r="X118" s="4">
        <v>2</v>
      </c>
      <c r="Y118" s="14">
        <v>5.518987341772152</v>
      </c>
      <c r="Z118" s="4">
        <v>120</v>
      </c>
      <c r="AA118" s="4">
        <v>79</v>
      </c>
      <c r="AB118" s="24">
        <v>9</v>
      </c>
      <c r="AC118" s="24">
        <v>11.466666666666667</v>
      </c>
      <c r="AD118" s="24">
        <v>2.4666666666666668</v>
      </c>
      <c r="AE118" s="25">
        <f>Table3[[#This Row],[flies_out]]/Table3[[#This Row],[flies_in]]</f>
        <v>0.65833333333333333</v>
      </c>
    </row>
    <row r="119" spans="1:31" s="4" customFormat="1" x14ac:dyDescent="0.35">
      <c r="A119" s="4">
        <v>7</v>
      </c>
      <c r="B119" t="s">
        <v>117</v>
      </c>
      <c r="C119" s="4">
        <v>1</v>
      </c>
      <c r="D119" s="5" t="s">
        <v>104</v>
      </c>
      <c r="E119" s="4" t="s">
        <v>3</v>
      </c>
      <c r="F119" s="4">
        <v>2</v>
      </c>
      <c r="G119" s="4" t="s">
        <v>114</v>
      </c>
      <c r="H119" s="12" t="s">
        <v>2</v>
      </c>
      <c r="I119" s="4">
        <v>2</v>
      </c>
      <c r="J119" s="4">
        <v>1</v>
      </c>
      <c r="K119" s="4">
        <v>2</v>
      </c>
      <c r="L119" s="4">
        <v>6</v>
      </c>
      <c r="M119" s="4">
        <v>4</v>
      </c>
      <c r="N119" s="4">
        <v>5</v>
      </c>
      <c r="O119" s="4">
        <v>2</v>
      </c>
      <c r="P119" s="4">
        <v>9</v>
      </c>
      <c r="Q119" s="4">
        <v>2</v>
      </c>
      <c r="R119" s="4">
        <v>0</v>
      </c>
      <c r="S119" s="4">
        <v>4</v>
      </c>
      <c r="T119" s="4">
        <v>0</v>
      </c>
      <c r="U119" s="4">
        <v>0</v>
      </c>
      <c r="V119" s="4">
        <v>4</v>
      </c>
      <c r="W119" s="4">
        <v>0</v>
      </c>
      <c r="X119" s="4">
        <v>1</v>
      </c>
      <c r="Y119" s="14">
        <v>7.2380952380952381</v>
      </c>
      <c r="Z119" s="4">
        <v>120</v>
      </c>
      <c r="AA119" s="4">
        <v>42</v>
      </c>
      <c r="AB119" s="24">
        <v>9</v>
      </c>
      <c r="AC119" s="24">
        <v>11.666666666666666</v>
      </c>
      <c r="AD119" s="24">
        <v>2.6666666666666661</v>
      </c>
      <c r="AE119" s="25">
        <f>Table3[[#This Row],[flies_out]]/Table3[[#This Row],[flies_in]]</f>
        <v>0.35</v>
      </c>
    </row>
    <row r="120" spans="1:31" s="4" customFormat="1" x14ac:dyDescent="0.35">
      <c r="A120" s="4">
        <v>7</v>
      </c>
      <c r="B120" t="s">
        <v>118</v>
      </c>
      <c r="C120" s="4">
        <v>1</v>
      </c>
      <c r="D120" s="5" t="s">
        <v>104</v>
      </c>
      <c r="E120" s="4" t="s">
        <v>3</v>
      </c>
      <c r="F120" s="4">
        <v>1</v>
      </c>
      <c r="G120" s="4" t="s">
        <v>112</v>
      </c>
      <c r="H120" s="12" t="s">
        <v>2</v>
      </c>
      <c r="I120" s="4">
        <v>0</v>
      </c>
      <c r="J120" s="4">
        <v>1</v>
      </c>
      <c r="K120" s="4">
        <v>1</v>
      </c>
      <c r="L120" s="4">
        <v>2</v>
      </c>
      <c r="M120" s="4">
        <v>2</v>
      </c>
      <c r="N120" s="4">
        <v>2</v>
      </c>
      <c r="O120" s="4">
        <v>5</v>
      </c>
      <c r="P120" s="4">
        <v>13</v>
      </c>
      <c r="Q120" s="4">
        <v>12</v>
      </c>
      <c r="R120" s="4">
        <v>4</v>
      </c>
      <c r="S120" s="4">
        <v>10</v>
      </c>
      <c r="T120" s="4">
        <v>4</v>
      </c>
      <c r="U120" s="4">
        <v>4</v>
      </c>
      <c r="V120" s="4">
        <v>1</v>
      </c>
      <c r="W120" s="4">
        <v>4</v>
      </c>
      <c r="X120" s="4">
        <v>13</v>
      </c>
      <c r="Y120" s="14">
        <v>10.435897435897436</v>
      </c>
      <c r="Z120" s="4">
        <v>120</v>
      </c>
      <c r="AA120" s="4">
        <v>78</v>
      </c>
      <c r="AB120" s="24">
        <v>12.283333333333331</v>
      </c>
      <c r="AC120" s="24">
        <v>16</v>
      </c>
      <c r="AD120" s="24">
        <v>3.7166666666666686</v>
      </c>
      <c r="AE120" s="25">
        <f>Table3[[#This Row],[flies_out]]/Table3[[#This Row],[flies_in]]</f>
        <v>0.65</v>
      </c>
    </row>
    <row r="121" spans="1:31" s="4" customFormat="1" x14ac:dyDescent="0.35">
      <c r="A121" s="4">
        <v>7</v>
      </c>
      <c r="B121" t="s">
        <v>118</v>
      </c>
      <c r="C121" s="4">
        <v>1</v>
      </c>
      <c r="D121" s="5" t="s">
        <v>104</v>
      </c>
      <c r="E121" s="4" t="s">
        <v>3</v>
      </c>
      <c r="F121" s="4">
        <v>1</v>
      </c>
      <c r="G121" s="4" t="s">
        <v>113</v>
      </c>
      <c r="H121" s="12" t="s">
        <v>0</v>
      </c>
      <c r="I121" s="4">
        <v>14</v>
      </c>
      <c r="J121" s="4">
        <v>8</v>
      </c>
      <c r="K121" s="4">
        <v>2</v>
      </c>
      <c r="L121" s="4">
        <v>3</v>
      </c>
      <c r="M121" s="4">
        <v>6</v>
      </c>
      <c r="N121" s="4">
        <v>7</v>
      </c>
      <c r="O121" s="4">
        <v>3</v>
      </c>
      <c r="P121" s="4">
        <v>5</v>
      </c>
      <c r="Q121" s="4">
        <v>2</v>
      </c>
      <c r="R121" s="4">
        <v>5</v>
      </c>
      <c r="S121" s="4">
        <v>2</v>
      </c>
      <c r="T121" s="4">
        <v>2</v>
      </c>
      <c r="U121" s="4">
        <v>2</v>
      </c>
      <c r="V121" s="4">
        <v>1</v>
      </c>
      <c r="W121" s="4">
        <v>1</v>
      </c>
      <c r="X121" s="4">
        <v>0</v>
      </c>
      <c r="Y121" s="14">
        <v>5.5555555555555554</v>
      </c>
      <c r="Z121" s="4">
        <v>120</v>
      </c>
      <c r="AA121" s="4">
        <v>63</v>
      </c>
      <c r="AB121" s="24">
        <v>12.283333333333331</v>
      </c>
      <c r="AC121" s="24">
        <v>16.183333333333334</v>
      </c>
      <c r="AD121" s="24">
        <v>3.9000000000000021</v>
      </c>
      <c r="AE121" s="25">
        <f>Table3[[#This Row],[flies_out]]/Table3[[#This Row],[flies_in]]</f>
        <v>0.52500000000000002</v>
      </c>
    </row>
    <row r="122" spans="1:31" s="4" customFormat="1" x14ac:dyDescent="0.35">
      <c r="A122" s="4">
        <v>7</v>
      </c>
      <c r="B122" t="s">
        <v>118</v>
      </c>
      <c r="C122" s="4">
        <v>1</v>
      </c>
      <c r="D122" s="5" t="s">
        <v>104</v>
      </c>
      <c r="E122" s="4" t="s">
        <v>3</v>
      </c>
      <c r="F122" s="4">
        <v>1</v>
      </c>
      <c r="G122" s="4" t="s">
        <v>1</v>
      </c>
      <c r="H122" s="12" t="s">
        <v>0</v>
      </c>
      <c r="I122" s="4">
        <v>7</v>
      </c>
      <c r="J122" s="4">
        <v>7</v>
      </c>
      <c r="K122" s="4">
        <v>19</v>
      </c>
      <c r="L122" s="4">
        <v>0</v>
      </c>
      <c r="M122" s="4">
        <v>3</v>
      </c>
      <c r="N122" s="4">
        <v>7</v>
      </c>
      <c r="O122" s="4">
        <v>9</v>
      </c>
      <c r="P122" s="4">
        <v>10</v>
      </c>
      <c r="Q122" s="4">
        <v>6</v>
      </c>
      <c r="R122" s="4">
        <v>7</v>
      </c>
      <c r="S122" s="4">
        <v>3</v>
      </c>
      <c r="T122" s="4">
        <v>1</v>
      </c>
      <c r="U122" s="4">
        <v>0</v>
      </c>
      <c r="V122" s="4">
        <v>0</v>
      </c>
      <c r="W122" s="4">
        <v>0</v>
      </c>
      <c r="X122" s="4">
        <v>0</v>
      </c>
      <c r="Y122" s="14">
        <v>5.6582278481012658</v>
      </c>
      <c r="Z122" s="4">
        <v>100</v>
      </c>
      <c r="AA122" s="4">
        <v>79</v>
      </c>
      <c r="AB122" s="24">
        <v>12.283333333333331</v>
      </c>
      <c r="AC122" s="24">
        <v>16.399999999999999</v>
      </c>
      <c r="AD122" s="24">
        <v>4.1166666666666671</v>
      </c>
      <c r="AE122" s="25">
        <f>Table3[[#This Row],[flies_out]]/Table3[[#This Row],[flies_in]]</f>
        <v>0.79</v>
      </c>
    </row>
    <row r="123" spans="1:31" s="4" customFormat="1" x14ac:dyDescent="0.35">
      <c r="A123" s="4">
        <v>7</v>
      </c>
      <c r="B123" t="s">
        <v>118</v>
      </c>
      <c r="C123" s="4">
        <v>1</v>
      </c>
      <c r="D123" s="5" t="s">
        <v>104</v>
      </c>
      <c r="E123" s="4" t="s">
        <v>3</v>
      </c>
      <c r="F123" s="4">
        <v>1</v>
      </c>
      <c r="G123" s="4" t="s">
        <v>114</v>
      </c>
      <c r="H123" s="12" t="s">
        <v>2</v>
      </c>
      <c r="I123" s="4">
        <v>2</v>
      </c>
      <c r="J123" s="4">
        <v>2</v>
      </c>
      <c r="K123" s="4">
        <v>14</v>
      </c>
      <c r="L123" s="4">
        <v>3</v>
      </c>
      <c r="M123" s="4">
        <v>11</v>
      </c>
      <c r="N123" s="4">
        <v>6</v>
      </c>
      <c r="O123" s="4">
        <v>1</v>
      </c>
      <c r="P123" s="4">
        <v>11</v>
      </c>
      <c r="Q123" s="4">
        <v>3</v>
      </c>
      <c r="R123" s="4">
        <v>9</v>
      </c>
      <c r="S123" s="4">
        <v>2</v>
      </c>
      <c r="T123" s="4">
        <v>2</v>
      </c>
      <c r="U123" s="4">
        <v>0</v>
      </c>
      <c r="V123" s="4">
        <v>4</v>
      </c>
      <c r="W123" s="4">
        <v>0</v>
      </c>
      <c r="X123" s="4">
        <v>0</v>
      </c>
      <c r="Y123" s="14">
        <v>6.6428571428571432</v>
      </c>
      <c r="Z123" s="4">
        <v>120</v>
      </c>
      <c r="AA123" s="4">
        <v>70</v>
      </c>
      <c r="AB123" s="24">
        <v>12.283333333333331</v>
      </c>
      <c r="AC123" s="24">
        <v>16.55</v>
      </c>
      <c r="AD123" s="24">
        <v>4.2666666666666693</v>
      </c>
      <c r="AE123" s="25">
        <f>Table3[[#This Row],[flies_out]]/Table3[[#This Row],[flies_in]]</f>
        <v>0.58333333333333337</v>
      </c>
    </row>
    <row r="124" spans="1:31" s="4" customFormat="1" x14ac:dyDescent="0.35">
      <c r="A124" s="4">
        <v>7</v>
      </c>
      <c r="B124" t="s">
        <v>117</v>
      </c>
      <c r="C124" s="4">
        <v>2</v>
      </c>
      <c r="D124" s="5" t="s">
        <v>104</v>
      </c>
      <c r="E124" s="4" t="s">
        <v>3</v>
      </c>
      <c r="F124" s="4">
        <v>4</v>
      </c>
      <c r="G124" s="4" t="s">
        <v>112</v>
      </c>
      <c r="H124" s="12" t="s">
        <v>2</v>
      </c>
      <c r="I124" s="4">
        <v>1</v>
      </c>
      <c r="J124" s="4">
        <v>2</v>
      </c>
      <c r="K124" s="4">
        <v>2</v>
      </c>
      <c r="L124" s="4">
        <v>0</v>
      </c>
      <c r="M124" s="4">
        <v>8</v>
      </c>
      <c r="N124" s="4">
        <v>4</v>
      </c>
      <c r="O124" s="4">
        <v>4</v>
      </c>
      <c r="P124" s="4">
        <v>4</v>
      </c>
      <c r="Q124" s="4">
        <v>3</v>
      </c>
      <c r="R124" s="4">
        <v>6</v>
      </c>
      <c r="S124" s="4">
        <v>2</v>
      </c>
      <c r="T124" s="4">
        <v>6</v>
      </c>
      <c r="U124" s="4">
        <v>2</v>
      </c>
      <c r="V124" s="4">
        <v>4</v>
      </c>
      <c r="W124" s="4">
        <v>16</v>
      </c>
      <c r="X124" s="4">
        <v>14</v>
      </c>
      <c r="Y124" s="14">
        <v>11.051282051282051</v>
      </c>
      <c r="Z124" s="4">
        <v>120</v>
      </c>
      <c r="AA124" s="4">
        <v>78</v>
      </c>
      <c r="AB124" s="24">
        <v>9.2833333333333332</v>
      </c>
      <c r="AC124" s="24">
        <v>11.883333333333333</v>
      </c>
      <c r="AD124" s="24">
        <v>2.5999999999999996</v>
      </c>
      <c r="AE124" s="25">
        <f>Table3[[#This Row],[flies_out]]/Table3[[#This Row],[flies_in]]</f>
        <v>0.65</v>
      </c>
    </row>
    <row r="125" spans="1:31" s="4" customFormat="1" x14ac:dyDescent="0.35">
      <c r="A125" s="4">
        <v>7</v>
      </c>
      <c r="B125" t="s">
        <v>117</v>
      </c>
      <c r="C125" s="4">
        <v>2</v>
      </c>
      <c r="D125" s="5" t="s">
        <v>104</v>
      </c>
      <c r="E125" s="4" t="s">
        <v>3</v>
      </c>
      <c r="F125" s="4">
        <v>4</v>
      </c>
      <c r="G125" s="4" t="s">
        <v>113</v>
      </c>
      <c r="H125" s="12" t="s">
        <v>0</v>
      </c>
      <c r="I125" s="4">
        <v>10</v>
      </c>
      <c r="J125" s="4">
        <v>4</v>
      </c>
      <c r="K125" s="4">
        <v>7</v>
      </c>
      <c r="L125" s="4">
        <v>5</v>
      </c>
      <c r="M125" s="4">
        <v>2</v>
      </c>
      <c r="N125" s="4">
        <v>5</v>
      </c>
      <c r="O125" s="4">
        <v>5</v>
      </c>
      <c r="P125" s="4">
        <v>7</v>
      </c>
      <c r="Q125" s="4">
        <v>10</v>
      </c>
      <c r="R125" s="4">
        <v>3</v>
      </c>
      <c r="S125" s="4">
        <v>6</v>
      </c>
      <c r="T125" s="4">
        <v>9</v>
      </c>
      <c r="U125" s="4">
        <v>2</v>
      </c>
      <c r="V125" s="4">
        <v>2</v>
      </c>
      <c r="W125" s="4">
        <v>4</v>
      </c>
      <c r="X125" s="4">
        <v>2</v>
      </c>
      <c r="Y125" s="14">
        <v>7.5903614457831328</v>
      </c>
      <c r="Z125" s="4">
        <v>120</v>
      </c>
      <c r="AA125" s="4">
        <v>83</v>
      </c>
      <c r="AB125" s="24">
        <v>9.2833333333333332</v>
      </c>
      <c r="AC125" s="24">
        <v>11.733333333333333</v>
      </c>
      <c r="AD125" s="24">
        <v>2.4499999999999993</v>
      </c>
      <c r="AE125" s="25">
        <f>Table3[[#This Row],[flies_out]]/Table3[[#This Row],[flies_in]]</f>
        <v>0.69166666666666665</v>
      </c>
    </row>
    <row r="126" spans="1:31" s="4" customFormat="1" x14ac:dyDescent="0.35">
      <c r="A126" s="4">
        <v>7</v>
      </c>
      <c r="B126" t="s">
        <v>117</v>
      </c>
      <c r="C126" s="4">
        <v>2</v>
      </c>
      <c r="D126" s="5" t="s">
        <v>104</v>
      </c>
      <c r="E126" s="4" t="s">
        <v>3</v>
      </c>
      <c r="F126" s="4">
        <v>4</v>
      </c>
      <c r="G126" s="4" t="s">
        <v>1</v>
      </c>
      <c r="H126" s="12" t="s">
        <v>0</v>
      </c>
      <c r="I126" s="4">
        <v>7</v>
      </c>
      <c r="J126" s="4">
        <v>5</v>
      </c>
      <c r="K126" s="4">
        <v>17</v>
      </c>
      <c r="L126" s="4">
        <v>6</v>
      </c>
      <c r="M126" s="4">
        <v>8</v>
      </c>
      <c r="N126" s="4">
        <v>12</v>
      </c>
      <c r="O126" s="4">
        <v>10</v>
      </c>
      <c r="P126" s="4">
        <v>6</v>
      </c>
      <c r="Q126" s="4">
        <v>16</v>
      </c>
      <c r="R126" s="4">
        <v>5</v>
      </c>
      <c r="S126" s="4">
        <v>10</v>
      </c>
      <c r="T126" s="4">
        <v>1</v>
      </c>
      <c r="U126" s="4">
        <v>1</v>
      </c>
      <c r="V126" s="4">
        <v>1</v>
      </c>
      <c r="W126" s="4">
        <v>0</v>
      </c>
      <c r="X126" s="4">
        <v>0</v>
      </c>
      <c r="Y126" s="14">
        <v>6.333333333333333</v>
      </c>
      <c r="Z126" s="4">
        <v>120</v>
      </c>
      <c r="AA126" s="4">
        <v>105</v>
      </c>
      <c r="AB126" s="24">
        <v>9.2833333333333332</v>
      </c>
      <c r="AC126" s="24">
        <v>11.583333333333334</v>
      </c>
      <c r="AD126" s="24">
        <v>2.3000000000000007</v>
      </c>
      <c r="AE126" s="25">
        <f>Table3[[#This Row],[flies_out]]/Table3[[#This Row],[flies_in]]</f>
        <v>0.875</v>
      </c>
    </row>
    <row r="127" spans="1:31" s="4" customFormat="1" x14ac:dyDescent="0.35">
      <c r="A127" s="4">
        <v>7</v>
      </c>
      <c r="B127" t="s">
        <v>117</v>
      </c>
      <c r="C127" s="4">
        <v>2</v>
      </c>
      <c r="D127" s="5" t="s">
        <v>104</v>
      </c>
      <c r="E127" s="4" t="s">
        <v>3</v>
      </c>
      <c r="F127" s="4">
        <v>4</v>
      </c>
      <c r="G127" s="4" t="s">
        <v>114</v>
      </c>
      <c r="H127" s="12" t="s">
        <v>2</v>
      </c>
      <c r="I127" s="4">
        <v>3</v>
      </c>
      <c r="J127" s="4">
        <v>5</v>
      </c>
      <c r="K127" s="4">
        <v>10</v>
      </c>
      <c r="L127" s="4">
        <v>6</v>
      </c>
      <c r="M127" s="4">
        <v>10</v>
      </c>
      <c r="N127" s="4">
        <v>7</v>
      </c>
      <c r="O127" s="4">
        <v>5</v>
      </c>
      <c r="P127" s="4">
        <v>9</v>
      </c>
      <c r="Q127" s="4">
        <v>7</v>
      </c>
      <c r="R127" s="4">
        <v>0</v>
      </c>
      <c r="S127" s="4">
        <v>3</v>
      </c>
      <c r="T127" s="4">
        <v>3</v>
      </c>
      <c r="U127" s="4">
        <v>2</v>
      </c>
      <c r="V127" s="4">
        <v>1</v>
      </c>
      <c r="W127" s="4">
        <v>0</v>
      </c>
      <c r="X127" s="4">
        <v>0</v>
      </c>
      <c r="Y127" s="14">
        <v>6.169014084507042</v>
      </c>
      <c r="Z127" s="4">
        <v>120</v>
      </c>
      <c r="AA127" s="4">
        <v>71</v>
      </c>
      <c r="AB127" s="24">
        <v>9.2833333333333332</v>
      </c>
      <c r="AC127" s="24">
        <v>11.35</v>
      </c>
      <c r="AD127" s="24">
        <v>2.0666666666666664</v>
      </c>
      <c r="AE127" s="25">
        <f>Table3[[#This Row],[flies_out]]/Table3[[#This Row],[flies_in]]</f>
        <v>0.59166666666666667</v>
      </c>
    </row>
    <row r="128" spans="1:31" s="4" customFormat="1" x14ac:dyDescent="0.35">
      <c r="A128" s="4">
        <v>7</v>
      </c>
      <c r="B128" t="s">
        <v>118</v>
      </c>
      <c r="C128" s="4">
        <v>2</v>
      </c>
      <c r="D128" s="5" t="s">
        <v>104</v>
      </c>
      <c r="E128" s="4" t="s">
        <v>3</v>
      </c>
      <c r="F128" s="4">
        <v>3</v>
      </c>
      <c r="G128" s="4" t="s">
        <v>112</v>
      </c>
      <c r="H128" s="12" t="s">
        <v>2</v>
      </c>
      <c r="I128" s="4">
        <v>1</v>
      </c>
      <c r="J128" s="4">
        <v>1</v>
      </c>
      <c r="K128" s="4">
        <v>1</v>
      </c>
      <c r="L128" s="4">
        <v>1</v>
      </c>
      <c r="M128" s="4">
        <v>2</v>
      </c>
      <c r="N128" s="4">
        <v>3</v>
      </c>
      <c r="O128" s="4">
        <v>10</v>
      </c>
      <c r="P128" s="4">
        <v>9</v>
      </c>
      <c r="Q128" s="4">
        <v>9</v>
      </c>
      <c r="R128" s="4">
        <v>7</v>
      </c>
      <c r="S128" s="4">
        <v>8</v>
      </c>
      <c r="T128" s="4">
        <v>8</v>
      </c>
      <c r="U128" s="4">
        <v>3</v>
      </c>
      <c r="V128" s="4">
        <v>2</v>
      </c>
      <c r="W128" s="4">
        <v>11</v>
      </c>
      <c r="X128" s="4">
        <v>9</v>
      </c>
      <c r="Y128" s="14">
        <v>10.482352941176471</v>
      </c>
      <c r="Z128" s="4">
        <v>120</v>
      </c>
      <c r="AA128" s="4">
        <v>85</v>
      </c>
      <c r="AB128" s="24">
        <v>12.933333333333334</v>
      </c>
      <c r="AC128" s="24">
        <v>15.783333333333333</v>
      </c>
      <c r="AD128" s="24">
        <v>2.8499999999999996</v>
      </c>
      <c r="AE128" s="25">
        <f>Table3[[#This Row],[flies_out]]/Table3[[#This Row],[flies_in]]</f>
        <v>0.70833333333333337</v>
      </c>
    </row>
    <row r="129" spans="1:31" s="4" customFormat="1" x14ac:dyDescent="0.35">
      <c r="A129" s="4">
        <v>7</v>
      </c>
      <c r="B129" t="s">
        <v>118</v>
      </c>
      <c r="C129" s="4">
        <v>2</v>
      </c>
      <c r="D129" s="5" t="s">
        <v>104</v>
      </c>
      <c r="E129" s="4" t="s">
        <v>3</v>
      </c>
      <c r="F129" s="4">
        <v>3</v>
      </c>
      <c r="G129" s="4" t="s">
        <v>113</v>
      </c>
      <c r="H129" s="12" t="s">
        <v>0</v>
      </c>
      <c r="I129" s="4">
        <v>16</v>
      </c>
      <c r="J129" s="4">
        <v>13</v>
      </c>
      <c r="K129" s="4">
        <v>11</v>
      </c>
      <c r="L129" s="4">
        <v>5</v>
      </c>
      <c r="M129" s="4">
        <v>9</v>
      </c>
      <c r="N129" s="4">
        <v>1</v>
      </c>
      <c r="O129" s="4">
        <v>2</v>
      </c>
      <c r="P129" s="4">
        <v>14</v>
      </c>
      <c r="Q129" s="4">
        <v>3</v>
      </c>
      <c r="R129" s="4">
        <v>9</v>
      </c>
      <c r="S129" s="4">
        <v>1</v>
      </c>
      <c r="T129" s="4">
        <v>1</v>
      </c>
      <c r="U129" s="4">
        <v>1</v>
      </c>
      <c r="V129" s="4">
        <v>1</v>
      </c>
      <c r="W129" s="4">
        <v>2</v>
      </c>
      <c r="X129" s="4">
        <v>0</v>
      </c>
      <c r="Y129" s="14">
        <v>5.2696629213483144</v>
      </c>
      <c r="Z129" s="4">
        <v>120</v>
      </c>
      <c r="AA129" s="4">
        <v>89</v>
      </c>
      <c r="AB129" s="24">
        <v>12.933333333333334</v>
      </c>
      <c r="AC129" s="24">
        <v>15.8</v>
      </c>
      <c r="AD129" s="24">
        <v>2.8666666666666671</v>
      </c>
      <c r="AE129" s="25">
        <f>Table3[[#This Row],[flies_out]]/Table3[[#This Row],[flies_in]]</f>
        <v>0.7416666666666667</v>
      </c>
    </row>
    <row r="130" spans="1:31" s="4" customFormat="1" x14ac:dyDescent="0.35">
      <c r="A130" s="4">
        <v>7</v>
      </c>
      <c r="B130" t="s">
        <v>118</v>
      </c>
      <c r="C130" s="4">
        <v>2</v>
      </c>
      <c r="D130" s="5" t="s">
        <v>104</v>
      </c>
      <c r="E130" s="4" t="s">
        <v>3</v>
      </c>
      <c r="F130" s="4">
        <v>3</v>
      </c>
      <c r="G130" s="4" t="s">
        <v>1</v>
      </c>
      <c r="H130" s="12" t="s">
        <v>0</v>
      </c>
      <c r="I130" s="4">
        <v>21</v>
      </c>
      <c r="J130" s="4">
        <v>15</v>
      </c>
      <c r="K130" s="4">
        <v>17</v>
      </c>
      <c r="L130" s="4">
        <v>8</v>
      </c>
      <c r="M130" s="4">
        <v>7</v>
      </c>
      <c r="N130" s="4">
        <v>5</v>
      </c>
      <c r="O130" s="4">
        <v>14</v>
      </c>
      <c r="P130" s="4">
        <v>9</v>
      </c>
      <c r="Q130" s="4">
        <v>6</v>
      </c>
      <c r="R130" s="4">
        <v>1</v>
      </c>
      <c r="S130" s="4">
        <v>2</v>
      </c>
      <c r="T130" s="4">
        <v>1</v>
      </c>
      <c r="U130" s="4">
        <v>0</v>
      </c>
      <c r="V130" s="4">
        <v>0</v>
      </c>
      <c r="W130" s="4">
        <v>0</v>
      </c>
      <c r="X130" s="4">
        <v>0</v>
      </c>
      <c r="Y130" s="14">
        <v>4.4056603773584904</v>
      </c>
      <c r="Z130" s="4">
        <v>120</v>
      </c>
      <c r="AA130" s="4">
        <v>106</v>
      </c>
      <c r="AB130" s="24">
        <v>12.933333333333334</v>
      </c>
      <c r="AC130" s="24">
        <v>16.183333333333334</v>
      </c>
      <c r="AD130" s="24">
        <v>3.25</v>
      </c>
      <c r="AE130" s="25">
        <f>Table3[[#This Row],[flies_out]]/Table3[[#This Row],[flies_in]]</f>
        <v>0.8833333333333333</v>
      </c>
    </row>
    <row r="131" spans="1:31" s="4" customFormat="1" x14ac:dyDescent="0.35">
      <c r="A131" s="4">
        <v>7</v>
      </c>
      <c r="B131" t="s">
        <v>118</v>
      </c>
      <c r="C131" s="4">
        <v>2</v>
      </c>
      <c r="D131" s="5" t="s">
        <v>104</v>
      </c>
      <c r="E131" s="4" t="s">
        <v>3</v>
      </c>
      <c r="F131" s="4">
        <v>3</v>
      </c>
      <c r="G131" s="4" t="s">
        <v>114</v>
      </c>
      <c r="H131" s="12" t="s">
        <v>2</v>
      </c>
      <c r="I131" s="4">
        <v>5</v>
      </c>
      <c r="J131" s="4">
        <v>3</v>
      </c>
      <c r="K131" s="4">
        <v>6</v>
      </c>
      <c r="L131" s="4">
        <v>14</v>
      </c>
      <c r="M131" s="4">
        <v>4</v>
      </c>
      <c r="N131" s="4">
        <v>4</v>
      </c>
      <c r="O131" s="4">
        <v>1</v>
      </c>
      <c r="P131" s="4">
        <v>2</v>
      </c>
      <c r="Q131" s="4">
        <v>0</v>
      </c>
      <c r="R131" s="4">
        <v>0</v>
      </c>
      <c r="S131" s="4">
        <v>0</v>
      </c>
      <c r="T131" s="4">
        <v>1</v>
      </c>
      <c r="U131" s="4">
        <v>0</v>
      </c>
      <c r="V131" s="4">
        <v>0</v>
      </c>
      <c r="W131" s="4">
        <v>0</v>
      </c>
      <c r="X131" s="4">
        <v>0</v>
      </c>
      <c r="Y131" s="14">
        <v>4.0999999999999996</v>
      </c>
      <c r="Z131" s="4">
        <v>120</v>
      </c>
      <c r="AA131" s="4">
        <v>40</v>
      </c>
      <c r="AB131" s="24">
        <v>12.933333333333334</v>
      </c>
      <c r="AC131" s="24">
        <v>16.3</v>
      </c>
      <c r="AD131" s="24">
        <v>3.3666666666666671</v>
      </c>
      <c r="AE131" s="25">
        <f>Table3[[#This Row],[flies_out]]/Table3[[#This Row],[flies_in]]</f>
        <v>0.33333333333333331</v>
      </c>
    </row>
    <row r="132" spans="1:31" s="20" customFormat="1" x14ac:dyDescent="0.35">
      <c r="A132" s="20">
        <v>8</v>
      </c>
      <c r="B132" t="s">
        <v>117</v>
      </c>
      <c r="C132" s="20">
        <v>1</v>
      </c>
      <c r="D132" s="23" t="s">
        <v>104</v>
      </c>
      <c r="E132" s="20" t="s">
        <v>3</v>
      </c>
      <c r="F132" s="20">
        <v>1</v>
      </c>
      <c r="G132" s="20" t="s">
        <v>112</v>
      </c>
      <c r="H132" s="11" t="s">
        <v>0</v>
      </c>
      <c r="I132" s="20">
        <v>1</v>
      </c>
      <c r="J132" s="20">
        <v>1</v>
      </c>
      <c r="K132" s="20">
        <v>14</v>
      </c>
      <c r="L132" s="20">
        <v>3</v>
      </c>
      <c r="M132" s="20">
        <v>17</v>
      </c>
      <c r="N132" s="20">
        <v>8</v>
      </c>
      <c r="O132" s="20">
        <v>11</v>
      </c>
      <c r="P132" s="20">
        <v>13</v>
      </c>
      <c r="Q132" s="20">
        <v>10</v>
      </c>
      <c r="R132" s="20">
        <v>14</v>
      </c>
      <c r="S132" s="20">
        <v>11</v>
      </c>
      <c r="T132" s="20">
        <v>10</v>
      </c>
      <c r="U132" s="20">
        <v>1</v>
      </c>
      <c r="V132" s="20">
        <v>0</v>
      </c>
      <c r="W132" s="20">
        <v>11</v>
      </c>
      <c r="X132" s="20">
        <v>6</v>
      </c>
      <c r="Y132" s="22">
        <v>8.5190839694656493</v>
      </c>
      <c r="Z132" s="20">
        <v>150</v>
      </c>
      <c r="AA132" s="20">
        <v>131</v>
      </c>
      <c r="AB132" s="25">
        <v>9.2833333333333332</v>
      </c>
      <c r="AC132" s="27">
        <v>11.266666666666666</v>
      </c>
      <c r="AD132" s="27">
        <v>1.9833333333333325</v>
      </c>
      <c r="AE132" s="25">
        <f>Table3[[#This Row],[flies_out]]/Table3[[#This Row],[flies_in]]</f>
        <v>0.87333333333333329</v>
      </c>
    </row>
    <row r="133" spans="1:31" s="20" customFormat="1" x14ac:dyDescent="0.35">
      <c r="A133" s="20">
        <v>8</v>
      </c>
      <c r="B133" t="s">
        <v>117</v>
      </c>
      <c r="C133" s="20">
        <v>1</v>
      </c>
      <c r="D133" s="23" t="s">
        <v>104</v>
      </c>
      <c r="E133" s="20" t="s">
        <v>3</v>
      </c>
      <c r="F133" s="20">
        <v>1</v>
      </c>
      <c r="G133" s="20" t="s">
        <v>113</v>
      </c>
      <c r="H133" s="11" t="s">
        <v>2</v>
      </c>
      <c r="I133" s="20">
        <v>1</v>
      </c>
      <c r="J133" s="20">
        <v>7</v>
      </c>
      <c r="K133" s="20">
        <v>3</v>
      </c>
      <c r="L133" s="20">
        <v>8</v>
      </c>
      <c r="M133" s="20">
        <v>18</v>
      </c>
      <c r="N133" s="20">
        <v>4</v>
      </c>
      <c r="O133" s="20">
        <v>12</v>
      </c>
      <c r="P133" s="20">
        <v>12</v>
      </c>
      <c r="Q133" s="20">
        <v>7</v>
      </c>
      <c r="R133" s="20">
        <v>8</v>
      </c>
      <c r="S133" s="20">
        <v>9</v>
      </c>
      <c r="T133" s="20">
        <v>8</v>
      </c>
      <c r="U133" s="20">
        <v>5</v>
      </c>
      <c r="V133" s="20">
        <v>6</v>
      </c>
      <c r="W133" s="20">
        <v>7</v>
      </c>
      <c r="X133" s="20">
        <v>4</v>
      </c>
      <c r="Y133" s="22">
        <v>8.4537815126050422</v>
      </c>
      <c r="Z133" s="20">
        <v>150</v>
      </c>
      <c r="AA133" s="20">
        <v>119</v>
      </c>
      <c r="AB133" s="25">
        <v>9.2833333333333332</v>
      </c>
      <c r="AC133" s="27">
        <v>11.399999999999999</v>
      </c>
      <c r="AD133" s="27">
        <v>2.1166666666666654</v>
      </c>
      <c r="AE133" s="25">
        <f>Table3[[#This Row],[flies_out]]/Table3[[#This Row],[flies_in]]</f>
        <v>0.79333333333333333</v>
      </c>
    </row>
    <row r="134" spans="1:31" s="20" customFormat="1" x14ac:dyDescent="0.35">
      <c r="A134" s="20">
        <v>8</v>
      </c>
      <c r="B134" t="s">
        <v>117</v>
      </c>
      <c r="C134" s="20">
        <v>1</v>
      </c>
      <c r="D134" s="23" t="s">
        <v>104</v>
      </c>
      <c r="E134" s="20" t="s">
        <v>3</v>
      </c>
      <c r="F134" s="20">
        <v>1</v>
      </c>
      <c r="G134" s="20" t="s">
        <v>1</v>
      </c>
      <c r="H134" s="11" t="s">
        <v>2</v>
      </c>
      <c r="I134" s="20">
        <v>0</v>
      </c>
      <c r="J134" s="20">
        <v>2</v>
      </c>
      <c r="K134" s="20">
        <v>5</v>
      </c>
      <c r="L134" s="20">
        <v>3</v>
      </c>
      <c r="M134" s="20">
        <v>10</v>
      </c>
      <c r="N134" s="20">
        <v>4</v>
      </c>
      <c r="O134" s="20">
        <v>1</v>
      </c>
      <c r="P134" s="20">
        <v>7</v>
      </c>
      <c r="Q134" s="20">
        <v>17</v>
      </c>
      <c r="R134" s="20">
        <v>8</v>
      </c>
      <c r="S134" s="20">
        <v>11</v>
      </c>
      <c r="T134" s="20">
        <v>2</v>
      </c>
      <c r="U134" s="20">
        <v>1</v>
      </c>
      <c r="V134" s="20">
        <v>0</v>
      </c>
      <c r="W134" s="20">
        <v>0</v>
      </c>
      <c r="X134" s="20">
        <v>0</v>
      </c>
      <c r="Y134" s="22">
        <v>7.873239436619718</v>
      </c>
      <c r="Z134" s="20">
        <v>150</v>
      </c>
      <c r="AA134" s="20">
        <v>71</v>
      </c>
      <c r="AB134" s="25">
        <v>9.2833333333333332</v>
      </c>
      <c r="AC134" s="27">
        <v>11.583333333333334</v>
      </c>
      <c r="AD134" s="27">
        <v>2.3000000000000007</v>
      </c>
      <c r="AE134" s="25">
        <f>Table3[[#This Row],[flies_out]]/Table3[[#This Row],[flies_in]]</f>
        <v>0.47333333333333333</v>
      </c>
    </row>
    <row r="135" spans="1:31" s="20" customFormat="1" x14ac:dyDescent="0.35">
      <c r="A135" s="20">
        <v>8</v>
      </c>
      <c r="B135" t="s">
        <v>117</v>
      </c>
      <c r="C135" s="20">
        <v>1</v>
      </c>
      <c r="D135" s="23" t="s">
        <v>104</v>
      </c>
      <c r="E135" s="20" t="s">
        <v>3</v>
      </c>
      <c r="F135" s="20">
        <v>1</v>
      </c>
      <c r="G135" s="20" t="s">
        <v>114</v>
      </c>
      <c r="H135" s="11" t="s">
        <v>0</v>
      </c>
      <c r="I135" s="20">
        <v>12</v>
      </c>
      <c r="J135" s="20">
        <v>12</v>
      </c>
      <c r="K135" s="20">
        <v>10</v>
      </c>
      <c r="L135" s="20">
        <v>14</v>
      </c>
      <c r="M135" s="20">
        <v>15</v>
      </c>
      <c r="N135" s="20">
        <v>17</v>
      </c>
      <c r="O135" s="20">
        <v>4</v>
      </c>
      <c r="P135" s="20">
        <v>13</v>
      </c>
      <c r="Q135" s="20">
        <v>8</v>
      </c>
      <c r="R135" s="20">
        <v>2</v>
      </c>
      <c r="S135" s="20">
        <v>12</v>
      </c>
      <c r="T135" s="20">
        <v>3</v>
      </c>
      <c r="U135" s="20">
        <v>5</v>
      </c>
      <c r="V135" s="20">
        <v>1</v>
      </c>
      <c r="W135" s="20">
        <v>0</v>
      </c>
      <c r="X135" s="20">
        <v>0</v>
      </c>
      <c r="Y135" s="22">
        <v>6.015625</v>
      </c>
      <c r="Z135" s="20">
        <v>150</v>
      </c>
      <c r="AA135" s="20">
        <v>128</v>
      </c>
      <c r="AB135" s="25">
        <v>9.2833333333333332</v>
      </c>
      <c r="AC135" s="27">
        <v>11.716666666666667</v>
      </c>
      <c r="AD135" s="27">
        <v>2.4333333333333336</v>
      </c>
      <c r="AE135" s="25">
        <f>Table3[[#This Row],[flies_out]]/Table3[[#This Row],[flies_in]]</f>
        <v>0.85333333333333339</v>
      </c>
    </row>
    <row r="136" spans="1:31" s="20" customFormat="1" x14ac:dyDescent="0.35">
      <c r="A136" s="20">
        <v>8</v>
      </c>
      <c r="B136" t="s">
        <v>118</v>
      </c>
      <c r="C136" s="20">
        <v>1</v>
      </c>
      <c r="D136" s="23" t="s">
        <v>104</v>
      </c>
      <c r="E136" s="20" t="s">
        <v>3</v>
      </c>
      <c r="F136" s="20">
        <v>2</v>
      </c>
      <c r="G136" s="20" t="s">
        <v>112</v>
      </c>
      <c r="H136" s="11" t="s">
        <v>0</v>
      </c>
      <c r="I136" s="20">
        <v>1</v>
      </c>
      <c r="J136" s="20">
        <v>1</v>
      </c>
      <c r="K136" s="20">
        <v>3</v>
      </c>
      <c r="L136" s="20">
        <v>14</v>
      </c>
      <c r="M136" s="20">
        <v>6</v>
      </c>
      <c r="N136" s="20">
        <v>3</v>
      </c>
      <c r="O136" s="20">
        <v>8</v>
      </c>
      <c r="P136" s="20">
        <v>15</v>
      </c>
      <c r="Q136" s="20">
        <v>17</v>
      </c>
      <c r="R136" s="20">
        <v>14</v>
      </c>
      <c r="S136" s="20">
        <v>17</v>
      </c>
      <c r="T136" s="20">
        <v>11</v>
      </c>
      <c r="U136" s="20">
        <v>4</v>
      </c>
      <c r="V136" s="20">
        <v>3</v>
      </c>
      <c r="W136" s="20">
        <v>12</v>
      </c>
      <c r="X136" s="20">
        <v>3</v>
      </c>
      <c r="Y136" s="22">
        <v>9.2878787878787872</v>
      </c>
      <c r="Z136" s="20">
        <v>150</v>
      </c>
      <c r="AA136" s="20">
        <v>132</v>
      </c>
      <c r="AB136" s="25">
        <v>12.05</v>
      </c>
      <c r="AC136" s="27">
        <v>15.433333333333334</v>
      </c>
      <c r="AD136" s="27">
        <v>3.3833333333333329</v>
      </c>
      <c r="AE136" s="25">
        <f>Table3[[#This Row],[flies_out]]/Table3[[#This Row],[flies_in]]</f>
        <v>0.88</v>
      </c>
    </row>
    <row r="137" spans="1:31" s="20" customFormat="1" x14ac:dyDescent="0.35">
      <c r="A137" s="20">
        <v>8</v>
      </c>
      <c r="B137" t="s">
        <v>118</v>
      </c>
      <c r="C137" s="20">
        <v>1</v>
      </c>
      <c r="D137" s="23" t="s">
        <v>104</v>
      </c>
      <c r="E137" s="20" t="s">
        <v>3</v>
      </c>
      <c r="F137" s="20">
        <v>2</v>
      </c>
      <c r="G137" s="20" t="s">
        <v>113</v>
      </c>
      <c r="H137" s="11" t="s">
        <v>2</v>
      </c>
      <c r="I137" s="20">
        <v>10</v>
      </c>
      <c r="J137" s="20">
        <v>8</v>
      </c>
      <c r="K137" s="20">
        <v>7</v>
      </c>
      <c r="L137" s="20">
        <v>11</v>
      </c>
      <c r="M137" s="20">
        <v>23</v>
      </c>
      <c r="N137" s="20">
        <v>7</v>
      </c>
      <c r="O137" s="20">
        <v>8</v>
      </c>
      <c r="P137" s="20">
        <v>6</v>
      </c>
      <c r="Q137" s="20">
        <v>7</v>
      </c>
      <c r="R137" s="20">
        <v>6</v>
      </c>
      <c r="S137" s="20">
        <v>2</v>
      </c>
      <c r="T137" s="20">
        <v>6</v>
      </c>
      <c r="U137" s="20">
        <v>0</v>
      </c>
      <c r="V137" s="20">
        <v>1</v>
      </c>
      <c r="W137" s="20">
        <v>4</v>
      </c>
      <c r="X137" s="20">
        <v>1</v>
      </c>
      <c r="Y137" s="22">
        <v>6.1588785046728969</v>
      </c>
      <c r="Z137" s="20">
        <v>150</v>
      </c>
      <c r="AA137" s="20">
        <v>107</v>
      </c>
      <c r="AB137" s="25">
        <v>12.05</v>
      </c>
      <c r="AC137" s="27">
        <v>15.866666666666667</v>
      </c>
      <c r="AD137" s="27">
        <v>3.8166666666666664</v>
      </c>
      <c r="AE137" s="25">
        <f>Table3[[#This Row],[flies_out]]/Table3[[#This Row],[flies_in]]</f>
        <v>0.71333333333333337</v>
      </c>
    </row>
    <row r="138" spans="1:31" s="20" customFormat="1" x14ac:dyDescent="0.35">
      <c r="A138" s="20">
        <v>8</v>
      </c>
      <c r="B138" t="s">
        <v>118</v>
      </c>
      <c r="C138" s="20">
        <v>1</v>
      </c>
      <c r="D138" s="23" t="s">
        <v>104</v>
      </c>
      <c r="E138" s="20" t="s">
        <v>3</v>
      </c>
      <c r="F138" s="20">
        <v>2</v>
      </c>
      <c r="G138" s="20" t="s">
        <v>1</v>
      </c>
      <c r="H138" s="11" t="s">
        <v>2</v>
      </c>
      <c r="I138" s="20">
        <v>1</v>
      </c>
      <c r="J138" s="20">
        <v>5</v>
      </c>
      <c r="K138" s="20">
        <v>8</v>
      </c>
      <c r="L138" s="20">
        <v>9</v>
      </c>
      <c r="M138" s="20">
        <v>9</v>
      </c>
      <c r="N138" s="20">
        <v>2</v>
      </c>
      <c r="O138" s="20">
        <v>5</v>
      </c>
      <c r="P138" s="20">
        <v>4</v>
      </c>
      <c r="Q138" s="20">
        <v>0</v>
      </c>
      <c r="R138" s="20">
        <v>3</v>
      </c>
      <c r="S138" s="20">
        <v>0</v>
      </c>
      <c r="T138" s="20">
        <v>1</v>
      </c>
      <c r="U138" s="20">
        <v>0</v>
      </c>
      <c r="V138" s="20">
        <v>1</v>
      </c>
      <c r="W138" s="20">
        <v>0</v>
      </c>
      <c r="X138" s="20">
        <v>1</v>
      </c>
      <c r="Y138" s="22">
        <v>5.4489795918367347</v>
      </c>
      <c r="Z138" s="20">
        <v>150</v>
      </c>
      <c r="AA138" s="20">
        <v>49</v>
      </c>
      <c r="AB138" s="25">
        <v>12.05</v>
      </c>
      <c r="AC138" s="27">
        <v>16.133333333333333</v>
      </c>
      <c r="AD138" s="27">
        <v>4.0833333333333321</v>
      </c>
      <c r="AE138" s="25">
        <f>Table3[[#This Row],[flies_out]]/Table3[[#This Row],[flies_in]]</f>
        <v>0.32666666666666666</v>
      </c>
    </row>
    <row r="139" spans="1:31" s="20" customFormat="1" x14ac:dyDescent="0.35">
      <c r="A139" s="20">
        <v>8</v>
      </c>
      <c r="B139" t="s">
        <v>118</v>
      </c>
      <c r="C139" s="20">
        <v>1</v>
      </c>
      <c r="D139" s="23" t="s">
        <v>104</v>
      </c>
      <c r="E139" s="20" t="s">
        <v>3</v>
      </c>
      <c r="F139" s="20">
        <v>2</v>
      </c>
      <c r="G139" s="20" t="s">
        <v>114</v>
      </c>
      <c r="H139" s="11" t="s">
        <v>0</v>
      </c>
      <c r="I139" s="20">
        <v>11</v>
      </c>
      <c r="J139" s="20">
        <v>11</v>
      </c>
      <c r="K139" s="20">
        <v>15</v>
      </c>
      <c r="L139" s="20">
        <v>10</v>
      </c>
      <c r="M139" s="20">
        <v>12</v>
      </c>
      <c r="N139" s="20">
        <v>19</v>
      </c>
      <c r="O139" s="20">
        <v>15</v>
      </c>
      <c r="P139" s="20">
        <v>22</v>
      </c>
      <c r="Q139" s="20">
        <v>11</v>
      </c>
      <c r="R139" s="20">
        <v>9</v>
      </c>
      <c r="S139" s="20">
        <v>3</v>
      </c>
      <c r="T139" s="20">
        <v>1</v>
      </c>
      <c r="U139" s="20">
        <v>2</v>
      </c>
      <c r="V139" s="20">
        <v>2</v>
      </c>
      <c r="W139" s="20">
        <v>0</v>
      </c>
      <c r="X139" s="20">
        <v>0</v>
      </c>
      <c r="Y139" s="22">
        <v>6.0209790209790208</v>
      </c>
      <c r="Z139" s="20">
        <v>150</v>
      </c>
      <c r="AA139" s="20">
        <v>143</v>
      </c>
      <c r="AB139" s="25">
        <v>12.05</v>
      </c>
      <c r="AC139" s="27">
        <v>16.266666666666666</v>
      </c>
      <c r="AD139" s="27">
        <v>4.216666666666665</v>
      </c>
      <c r="AE139" s="25">
        <f>Table3[[#This Row],[flies_out]]/Table3[[#This Row],[flies_in]]</f>
        <v>0.95333333333333337</v>
      </c>
    </row>
    <row r="140" spans="1:31" s="20" customFormat="1" x14ac:dyDescent="0.35">
      <c r="A140" s="20">
        <v>8</v>
      </c>
      <c r="B140" t="s">
        <v>117</v>
      </c>
      <c r="C140" s="20">
        <v>2</v>
      </c>
      <c r="D140" s="23" t="s">
        <v>104</v>
      </c>
      <c r="E140" s="20" t="s">
        <v>3</v>
      </c>
      <c r="F140" s="20">
        <v>3</v>
      </c>
      <c r="G140" s="20" t="s">
        <v>112</v>
      </c>
      <c r="H140" s="11" t="s">
        <v>0</v>
      </c>
      <c r="I140" s="20">
        <v>0</v>
      </c>
      <c r="J140" s="20">
        <v>0</v>
      </c>
      <c r="K140" s="20">
        <v>8</v>
      </c>
      <c r="L140" s="20">
        <v>6</v>
      </c>
      <c r="M140" s="20">
        <v>5</v>
      </c>
      <c r="N140" s="20">
        <v>10</v>
      </c>
      <c r="O140" s="20">
        <v>8</v>
      </c>
      <c r="P140" s="20">
        <v>7</v>
      </c>
      <c r="Q140" s="20">
        <v>6</v>
      </c>
      <c r="R140" s="20">
        <v>8</v>
      </c>
      <c r="S140" s="20">
        <v>9</v>
      </c>
      <c r="T140" s="20">
        <v>11</v>
      </c>
      <c r="U140" s="20">
        <v>16</v>
      </c>
      <c r="V140" s="20">
        <v>9</v>
      </c>
      <c r="W140" s="20">
        <v>3</v>
      </c>
      <c r="X140" s="20">
        <v>2</v>
      </c>
      <c r="Y140" s="22">
        <v>9.4537037037037042</v>
      </c>
      <c r="Z140" s="20">
        <v>150</v>
      </c>
      <c r="AA140" s="20">
        <v>108</v>
      </c>
      <c r="AB140" s="25">
        <v>9.2833333333333332</v>
      </c>
      <c r="AC140" s="27">
        <v>11.283333333333333</v>
      </c>
      <c r="AD140" s="27">
        <v>2</v>
      </c>
      <c r="AE140" s="25">
        <f>Table3[[#This Row],[flies_out]]/Table3[[#This Row],[flies_in]]</f>
        <v>0.72</v>
      </c>
    </row>
    <row r="141" spans="1:31" s="20" customFormat="1" x14ac:dyDescent="0.35">
      <c r="A141" s="20">
        <v>8</v>
      </c>
      <c r="B141" t="s">
        <v>117</v>
      </c>
      <c r="C141" s="20">
        <v>2</v>
      </c>
      <c r="D141" s="23" t="s">
        <v>104</v>
      </c>
      <c r="E141" s="20" t="s">
        <v>3</v>
      </c>
      <c r="F141" s="20">
        <v>3</v>
      </c>
      <c r="G141" s="20" t="s">
        <v>113</v>
      </c>
      <c r="H141" s="11" t="s">
        <v>2</v>
      </c>
      <c r="I141" s="20">
        <v>7</v>
      </c>
      <c r="J141" s="20">
        <v>4</v>
      </c>
      <c r="K141" s="20">
        <v>3</v>
      </c>
      <c r="L141" s="20">
        <v>7</v>
      </c>
      <c r="M141" s="20">
        <v>18</v>
      </c>
      <c r="N141" s="20">
        <v>4</v>
      </c>
      <c r="O141" s="20">
        <v>6</v>
      </c>
      <c r="P141" s="20">
        <v>6</v>
      </c>
      <c r="Q141" s="20">
        <v>7</v>
      </c>
      <c r="R141" s="20">
        <v>7</v>
      </c>
      <c r="S141" s="20">
        <v>5</v>
      </c>
      <c r="T141" s="20">
        <v>10</v>
      </c>
      <c r="U141" s="20">
        <v>3</v>
      </c>
      <c r="V141" s="20">
        <v>1</v>
      </c>
      <c r="W141" s="20">
        <v>3</v>
      </c>
      <c r="X141" s="20">
        <v>1</v>
      </c>
      <c r="Y141" s="22">
        <v>7.3695652173913047</v>
      </c>
      <c r="Z141" s="20">
        <v>150</v>
      </c>
      <c r="AA141" s="20">
        <v>92</v>
      </c>
      <c r="AB141" s="25">
        <v>9.2833333333333332</v>
      </c>
      <c r="AC141" s="27">
        <v>11.5</v>
      </c>
      <c r="AD141" s="27">
        <v>2.2166666666666668</v>
      </c>
      <c r="AE141" s="25">
        <f>Table3[[#This Row],[flies_out]]/Table3[[#This Row],[flies_in]]</f>
        <v>0.61333333333333329</v>
      </c>
    </row>
    <row r="142" spans="1:31" s="20" customFormat="1" x14ac:dyDescent="0.35">
      <c r="A142" s="20">
        <v>8</v>
      </c>
      <c r="B142" t="s">
        <v>117</v>
      </c>
      <c r="C142" s="20">
        <v>2</v>
      </c>
      <c r="D142" s="23" t="s">
        <v>104</v>
      </c>
      <c r="E142" s="20" t="s">
        <v>3</v>
      </c>
      <c r="F142" s="20">
        <v>3</v>
      </c>
      <c r="G142" s="20" t="s">
        <v>1</v>
      </c>
      <c r="H142" s="11" t="s">
        <v>2</v>
      </c>
      <c r="I142" s="20">
        <v>1</v>
      </c>
      <c r="J142" s="20">
        <v>2</v>
      </c>
      <c r="K142" s="20">
        <v>9</v>
      </c>
      <c r="L142" s="20">
        <v>0</v>
      </c>
      <c r="M142" s="20">
        <v>5</v>
      </c>
      <c r="N142" s="20">
        <v>9</v>
      </c>
      <c r="O142" s="20">
        <v>1</v>
      </c>
      <c r="P142" s="20">
        <v>7</v>
      </c>
      <c r="Q142" s="20">
        <v>1</v>
      </c>
      <c r="R142" s="20">
        <v>11</v>
      </c>
      <c r="S142" s="20">
        <v>8</v>
      </c>
      <c r="T142" s="20">
        <v>5</v>
      </c>
      <c r="U142" s="20">
        <v>1</v>
      </c>
      <c r="V142" s="20">
        <v>0</v>
      </c>
      <c r="W142" s="20">
        <v>0</v>
      </c>
      <c r="X142" s="20">
        <v>0</v>
      </c>
      <c r="Y142" s="22">
        <v>7.5666666666666664</v>
      </c>
      <c r="Z142" s="20">
        <v>150</v>
      </c>
      <c r="AA142" s="20">
        <v>60</v>
      </c>
      <c r="AB142" s="25">
        <v>9.2833333333333439</v>
      </c>
      <c r="AC142" s="27">
        <v>11.683333333333334</v>
      </c>
      <c r="AD142" s="27">
        <v>2.3999999999999897</v>
      </c>
      <c r="AE142" s="25">
        <f>Table3[[#This Row],[flies_out]]/Table3[[#This Row],[flies_in]]</f>
        <v>0.4</v>
      </c>
    </row>
    <row r="143" spans="1:31" s="20" customFormat="1" x14ac:dyDescent="0.35">
      <c r="A143" s="20">
        <v>8</v>
      </c>
      <c r="B143" t="s">
        <v>117</v>
      </c>
      <c r="C143" s="20">
        <v>2</v>
      </c>
      <c r="D143" s="23" t="s">
        <v>104</v>
      </c>
      <c r="E143" s="20" t="s">
        <v>3</v>
      </c>
      <c r="F143" s="20">
        <v>3</v>
      </c>
      <c r="G143" s="20" t="s">
        <v>114</v>
      </c>
      <c r="H143" s="11" t="s">
        <v>0</v>
      </c>
      <c r="I143" s="20">
        <v>9</v>
      </c>
      <c r="J143" s="20">
        <v>12</v>
      </c>
      <c r="L143" s="20">
        <v>6</v>
      </c>
      <c r="M143" s="20">
        <v>17</v>
      </c>
      <c r="N143" s="20">
        <v>13</v>
      </c>
      <c r="O143" s="20">
        <v>4</v>
      </c>
      <c r="P143" s="20">
        <v>7</v>
      </c>
      <c r="Q143" s="20">
        <v>9</v>
      </c>
      <c r="R143" s="20">
        <v>0</v>
      </c>
      <c r="S143" s="20">
        <v>7</v>
      </c>
      <c r="T143" s="20">
        <v>7</v>
      </c>
      <c r="U143" s="20">
        <v>10</v>
      </c>
      <c r="V143" s="20">
        <v>0</v>
      </c>
      <c r="W143" s="20">
        <v>1</v>
      </c>
      <c r="X143" s="20">
        <v>0</v>
      </c>
      <c r="Y143" s="22">
        <v>6.7745098039215685</v>
      </c>
      <c r="Z143" s="20">
        <v>150</v>
      </c>
      <c r="AA143" s="20">
        <v>102</v>
      </c>
      <c r="AB143" s="25">
        <v>9.2833333333333439</v>
      </c>
      <c r="AC143" s="27">
        <v>12.033333333333333</v>
      </c>
      <c r="AD143" s="27">
        <v>2.7499999999999893</v>
      </c>
      <c r="AE143" s="25">
        <f>Table3[[#This Row],[flies_out]]/Table3[[#This Row],[flies_in]]</f>
        <v>0.68</v>
      </c>
    </row>
    <row r="144" spans="1:31" s="20" customFormat="1" x14ac:dyDescent="0.35">
      <c r="A144" s="20">
        <v>8</v>
      </c>
      <c r="B144" t="s">
        <v>118</v>
      </c>
      <c r="C144" s="20">
        <v>2</v>
      </c>
      <c r="D144" s="23" t="s">
        <v>104</v>
      </c>
      <c r="E144" s="20" t="s">
        <v>3</v>
      </c>
      <c r="F144" s="20">
        <v>4</v>
      </c>
      <c r="G144" s="20" t="s">
        <v>112</v>
      </c>
      <c r="H144" s="11" t="s">
        <v>0</v>
      </c>
      <c r="I144" s="20">
        <v>0</v>
      </c>
      <c r="J144" s="20">
        <v>0</v>
      </c>
      <c r="K144" s="20">
        <v>3</v>
      </c>
      <c r="L144" s="20">
        <v>10</v>
      </c>
      <c r="M144" s="20">
        <v>10</v>
      </c>
      <c r="N144" s="20">
        <v>6</v>
      </c>
      <c r="O144" s="20">
        <v>6</v>
      </c>
      <c r="P144" s="20">
        <v>13</v>
      </c>
      <c r="Q144" s="20">
        <v>3</v>
      </c>
      <c r="R144" s="20">
        <v>2</v>
      </c>
      <c r="S144" s="20">
        <v>9</v>
      </c>
      <c r="T144" s="20">
        <v>7</v>
      </c>
      <c r="U144" s="20">
        <v>5</v>
      </c>
      <c r="V144" s="20">
        <v>4</v>
      </c>
      <c r="W144" s="20">
        <v>11</v>
      </c>
      <c r="X144" s="20">
        <v>2</v>
      </c>
      <c r="Y144" s="22">
        <v>9.1098901098901095</v>
      </c>
      <c r="Z144" s="20">
        <v>150</v>
      </c>
      <c r="AA144" s="20">
        <v>91</v>
      </c>
      <c r="AB144" s="25">
        <v>12.916666666666666</v>
      </c>
      <c r="AC144" s="27">
        <v>17.650000000000002</v>
      </c>
      <c r="AD144" s="27">
        <v>4.7333333333333361</v>
      </c>
      <c r="AE144" s="25">
        <f>Table3[[#This Row],[flies_out]]/Table3[[#This Row],[flies_in]]</f>
        <v>0.60666666666666669</v>
      </c>
    </row>
    <row r="145" spans="1:31" s="20" customFormat="1" x14ac:dyDescent="0.35">
      <c r="A145" s="20">
        <v>8</v>
      </c>
      <c r="B145" t="s">
        <v>118</v>
      </c>
      <c r="C145" s="20">
        <v>2</v>
      </c>
      <c r="D145" s="23" t="s">
        <v>104</v>
      </c>
      <c r="E145" s="20" t="s">
        <v>3</v>
      </c>
      <c r="F145" s="20">
        <v>4</v>
      </c>
      <c r="G145" s="20" t="s">
        <v>113</v>
      </c>
      <c r="H145" s="11" t="s">
        <v>2</v>
      </c>
      <c r="I145" s="20">
        <v>22</v>
      </c>
      <c r="J145" s="20">
        <v>15</v>
      </c>
      <c r="K145" s="20">
        <v>4</v>
      </c>
      <c r="L145" s="20">
        <v>3</v>
      </c>
      <c r="M145" s="20">
        <v>8</v>
      </c>
      <c r="N145" s="20">
        <v>14</v>
      </c>
      <c r="O145" s="20">
        <v>3</v>
      </c>
      <c r="P145" s="20">
        <v>3</v>
      </c>
      <c r="Q145" s="20">
        <v>4</v>
      </c>
      <c r="R145" s="20">
        <v>4</v>
      </c>
      <c r="S145" s="20">
        <v>1</v>
      </c>
      <c r="T145" s="20">
        <v>0</v>
      </c>
      <c r="U145" s="20">
        <v>1</v>
      </c>
      <c r="V145" s="20">
        <v>0</v>
      </c>
      <c r="W145" s="20">
        <v>2</v>
      </c>
      <c r="X145" s="20">
        <v>0</v>
      </c>
      <c r="Y145" s="22">
        <v>4.4642857142857144</v>
      </c>
      <c r="Z145" s="20">
        <v>150</v>
      </c>
      <c r="AA145" s="20">
        <v>84</v>
      </c>
      <c r="AB145" s="25">
        <v>12.916666666666666</v>
      </c>
      <c r="AC145" s="27">
        <v>17.850000000000001</v>
      </c>
      <c r="AD145" s="27">
        <v>4.9333333333333353</v>
      </c>
      <c r="AE145" s="25">
        <f>Table3[[#This Row],[flies_out]]/Table3[[#This Row],[flies_in]]</f>
        <v>0.56000000000000005</v>
      </c>
    </row>
    <row r="146" spans="1:31" s="20" customFormat="1" x14ac:dyDescent="0.35">
      <c r="A146" s="20">
        <v>8</v>
      </c>
      <c r="B146" t="s">
        <v>118</v>
      </c>
      <c r="C146" s="20">
        <v>2</v>
      </c>
      <c r="D146" s="23" t="s">
        <v>104</v>
      </c>
      <c r="E146" s="20" t="s">
        <v>3</v>
      </c>
      <c r="F146" s="20">
        <v>4</v>
      </c>
      <c r="G146" s="20" t="s">
        <v>1</v>
      </c>
      <c r="H146" s="11" t="s">
        <v>2</v>
      </c>
      <c r="I146" s="20">
        <v>3</v>
      </c>
      <c r="J146" s="20">
        <v>4</v>
      </c>
      <c r="K146" s="20">
        <v>16</v>
      </c>
      <c r="L146" s="20">
        <v>6</v>
      </c>
      <c r="M146" s="20">
        <v>11</v>
      </c>
      <c r="N146" s="20">
        <v>10</v>
      </c>
      <c r="O146" s="20">
        <v>5</v>
      </c>
      <c r="P146" s="20">
        <v>3</v>
      </c>
      <c r="Q146" s="20">
        <v>5</v>
      </c>
      <c r="R146" s="20">
        <v>1</v>
      </c>
      <c r="S146" s="20">
        <v>1</v>
      </c>
      <c r="T146" s="20">
        <v>0</v>
      </c>
      <c r="U146" s="20">
        <v>2</v>
      </c>
      <c r="V146" s="20">
        <v>0</v>
      </c>
      <c r="W146" s="20">
        <v>0</v>
      </c>
      <c r="X146" s="20">
        <v>1</v>
      </c>
      <c r="Y146" s="22">
        <v>5.367647058823529</v>
      </c>
      <c r="Z146" s="20">
        <v>150</v>
      </c>
      <c r="AA146" s="20">
        <v>68</v>
      </c>
      <c r="AB146" s="25">
        <v>12.916666666666666</v>
      </c>
      <c r="AC146" s="27">
        <v>17.966666666666669</v>
      </c>
      <c r="AD146" s="27">
        <v>5.0500000000000025</v>
      </c>
      <c r="AE146" s="25">
        <f>Table3[[#This Row],[flies_out]]/Table3[[#This Row],[flies_in]]</f>
        <v>0.45333333333333331</v>
      </c>
    </row>
    <row r="147" spans="1:31" s="20" customFormat="1" x14ac:dyDescent="0.35">
      <c r="A147" s="20">
        <v>8</v>
      </c>
      <c r="B147" t="s">
        <v>118</v>
      </c>
      <c r="C147" s="20">
        <v>2</v>
      </c>
      <c r="D147" s="23" t="s">
        <v>104</v>
      </c>
      <c r="E147" s="20" t="s">
        <v>3</v>
      </c>
      <c r="F147" s="20">
        <v>4</v>
      </c>
      <c r="G147" s="20" t="s">
        <v>114</v>
      </c>
      <c r="H147" s="11" t="s">
        <v>0</v>
      </c>
      <c r="I147" s="20">
        <v>13</v>
      </c>
      <c r="J147" s="20">
        <v>21</v>
      </c>
      <c r="K147" s="20">
        <v>13</v>
      </c>
      <c r="L147" s="20">
        <v>8</v>
      </c>
      <c r="M147" s="20">
        <v>14</v>
      </c>
      <c r="N147" s="20">
        <v>11</v>
      </c>
      <c r="O147" s="20">
        <v>17</v>
      </c>
      <c r="P147" s="20">
        <v>6</v>
      </c>
      <c r="Q147" s="20">
        <v>8</v>
      </c>
      <c r="R147" s="20">
        <v>2</v>
      </c>
      <c r="S147" s="20">
        <v>1</v>
      </c>
      <c r="T147" s="20">
        <v>1</v>
      </c>
      <c r="U147" s="20">
        <v>1</v>
      </c>
      <c r="V147" s="20">
        <v>0</v>
      </c>
      <c r="W147" s="20">
        <v>0</v>
      </c>
      <c r="X147" s="20">
        <v>0</v>
      </c>
      <c r="Y147" s="22">
        <v>4.8017241379310347</v>
      </c>
      <c r="Z147" s="20">
        <v>150</v>
      </c>
      <c r="AA147" s="20">
        <v>116</v>
      </c>
      <c r="AB147" s="25">
        <v>12.916666666666666</v>
      </c>
      <c r="AC147" s="27">
        <v>18.183333333333334</v>
      </c>
      <c r="AD147" s="27">
        <v>5.2666666666666675</v>
      </c>
      <c r="AE147" s="25">
        <f>Table3[[#This Row],[flies_out]]/Table3[[#This Row],[flies_in]]</f>
        <v>0.77333333333333332</v>
      </c>
    </row>
    <row r="148" spans="1:31" s="4" customFormat="1" x14ac:dyDescent="0.35">
      <c r="A148" s="4">
        <v>9</v>
      </c>
      <c r="B148" t="s">
        <v>117</v>
      </c>
      <c r="C148" s="4">
        <v>1</v>
      </c>
      <c r="D148" s="5" t="s">
        <v>104</v>
      </c>
      <c r="E148" s="4" t="s">
        <v>3</v>
      </c>
      <c r="F148" s="4">
        <v>2</v>
      </c>
      <c r="G148" s="4" t="s">
        <v>112</v>
      </c>
      <c r="H148" s="12" t="s">
        <v>2</v>
      </c>
      <c r="I148" s="4">
        <v>1</v>
      </c>
      <c r="J148" s="4">
        <v>1</v>
      </c>
      <c r="K148" s="4">
        <v>3</v>
      </c>
      <c r="L148" s="4">
        <v>0</v>
      </c>
      <c r="M148" s="4">
        <v>5</v>
      </c>
      <c r="N148" s="4">
        <v>2</v>
      </c>
      <c r="O148" s="4">
        <v>6</v>
      </c>
      <c r="P148" s="4">
        <v>5</v>
      </c>
      <c r="Q148" s="4">
        <v>8</v>
      </c>
      <c r="R148" s="4">
        <v>12</v>
      </c>
      <c r="S148" s="4">
        <v>6</v>
      </c>
      <c r="T148" s="4">
        <v>4</v>
      </c>
      <c r="U148" s="4">
        <v>3</v>
      </c>
      <c r="V148" s="4">
        <v>0</v>
      </c>
      <c r="W148" s="4">
        <v>18</v>
      </c>
      <c r="X148" s="4">
        <v>11</v>
      </c>
      <c r="Y148" s="14">
        <v>10.847058823529412</v>
      </c>
      <c r="Z148" s="4">
        <v>150</v>
      </c>
      <c r="AA148" s="4">
        <v>85</v>
      </c>
      <c r="AB148" s="24">
        <v>9.6833333333333336</v>
      </c>
      <c r="AC148" s="24">
        <v>11.366666666666667</v>
      </c>
      <c r="AD148" s="24">
        <v>1.6833333333333336</v>
      </c>
      <c r="AE148" s="25">
        <f>Table3[[#This Row],[flies_out]]/Table3[[#This Row],[flies_in]]</f>
        <v>0.56666666666666665</v>
      </c>
    </row>
    <row r="149" spans="1:31" s="4" customFormat="1" x14ac:dyDescent="0.35">
      <c r="A149" s="4">
        <v>9</v>
      </c>
      <c r="B149" t="s">
        <v>117</v>
      </c>
      <c r="C149" s="4">
        <v>1</v>
      </c>
      <c r="D149" s="5" t="s">
        <v>104</v>
      </c>
      <c r="E149" s="4" t="s">
        <v>3</v>
      </c>
      <c r="F149" s="4">
        <v>2</v>
      </c>
      <c r="G149" s="4" t="s">
        <v>113</v>
      </c>
      <c r="H149" s="12" t="s">
        <v>0</v>
      </c>
      <c r="I149" s="4">
        <v>4</v>
      </c>
      <c r="J149" s="4">
        <v>6</v>
      </c>
      <c r="K149" s="4">
        <v>7</v>
      </c>
      <c r="L149" s="4">
        <v>4</v>
      </c>
      <c r="M149" s="4">
        <v>5</v>
      </c>
      <c r="N149" s="4">
        <v>9</v>
      </c>
      <c r="O149" s="4">
        <v>18</v>
      </c>
      <c r="P149" s="4">
        <v>9</v>
      </c>
      <c r="Q149" s="4">
        <v>13</v>
      </c>
      <c r="R149" s="4">
        <v>10</v>
      </c>
      <c r="S149" s="4">
        <v>4</v>
      </c>
      <c r="T149" s="4">
        <v>3</v>
      </c>
      <c r="U149" s="4">
        <v>3</v>
      </c>
      <c r="V149" s="4">
        <v>1</v>
      </c>
      <c r="W149" s="4">
        <v>1</v>
      </c>
      <c r="X149" s="4">
        <v>2</v>
      </c>
      <c r="Y149" s="14">
        <v>7.3434343434343434</v>
      </c>
      <c r="Z149" s="4">
        <v>150</v>
      </c>
      <c r="AA149" s="4">
        <v>99</v>
      </c>
      <c r="AB149" s="24">
        <v>9.6833333333333336</v>
      </c>
      <c r="AC149" s="24">
        <v>11.533333333333333</v>
      </c>
      <c r="AD149" s="24">
        <v>1.8499999999999996</v>
      </c>
      <c r="AE149" s="25">
        <f>Table3[[#This Row],[flies_out]]/Table3[[#This Row],[flies_in]]</f>
        <v>0.66</v>
      </c>
    </row>
    <row r="150" spans="1:31" s="4" customFormat="1" x14ac:dyDescent="0.35">
      <c r="A150" s="4">
        <v>9</v>
      </c>
      <c r="B150" t="s">
        <v>117</v>
      </c>
      <c r="C150" s="4">
        <v>1</v>
      </c>
      <c r="D150" s="5" t="s">
        <v>104</v>
      </c>
      <c r="E150" s="4" t="s">
        <v>3</v>
      </c>
      <c r="F150" s="4">
        <v>2</v>
      </c>
      <c r="G150" s="4" t="s">
        <v>1</v>
      </c>
      <c r="H150" s="12" t="s">
        <v>0</v>
      </c>
      <c r="I150" s="4">
        <v>0</v>
      </c>
      <c r="J150" s="4">
        <v>0</v>
      </c>
      <c r="K150" s="4">
        <v>0</v>
      </c>
      <c r="L150" s="4">
        <v>2</v>
      </c>
      <c r="M150" s="4">
        <v>0</v>
      </c>
      <c r="N150" s="4">
        <v>17</v>
      </c>
      <c r="O150" s="4">
        <v>6</v>
      </c>
      <c r="P150" s="4">
        <v>6</v>
      </c>
      <c r="Q150" s="4">
        <v>10</v>
      </c>
      <c r="R150" s="4">
        <v>4</v>
      </c>
      <c r="S150" s="4">
        <v>3</v>
      </c>
      <c r="T150" s="4">
        <v>2</v>
      </c>
      <c r="U150" s="4">
        <v>0</v>
      </c>
      <c r="V150" s="4">
        <v>1</v>
      </c>
      <c r="W150" s="4">
        <v>0</v>
      </c>
      <c r="X150" s="4">
        <v>0</v>
      </c>
      <c r="Y150" s="14">
        <v>7.8627450980392153</v>
      </c>
      <c r="Z150" s="4">
        <v>150</v>
      </c>
      <c r="AA150" s="4">
        <v>51</v>
      </c>
      <c r="AB150" s="24">
        <v>9.6833333333333336</v>
      </c>
      <c r="AC150" s="24">
        <v>11.683333333333334</v>
      </c>
      <c r="AD150" s="24">
        <v>2</v>
      </c>
      <c r="AE150" s="25">
        <f>Table3[[#This Row],[flies_out]]/Table3[[#This Row],[flies_in]]</f>
        <v>0.34</v>
      </c>
    </row>
    <row r="151" spans="1:31" s="4" customFormat="1" x14ac:dyDescent="0.35">
      <c r="A151" s="4">
        <v>9</v>
      </c>
      <c r="B151" t="s">
        <v>117</v>
      </c>
      <c r="C151" s="4">
        <v>1</v>
      </c>
      <c r="D151" s="5" t="s">
        <v>104</v>
      </c>
      <c r="E151" s="4" t="s">
        <v>3</v>
      </c>
      <c r="F151" s="4">
        <v>2</v>
      </c>
      <c r="G151" s="4" t="s">
        <v>114</v>
      </c>
      <c r="H151" s="12" t="s">
        <v>2</v>
      </c>
      <c r="I151" s="4">
        <v>3</v>
      </c>
      <c r="J151" s="4">
        <v>2</v>
      </c>
      <c r="K151" s="4">
        <v>3</v>
      </c>
      <c r="L151" s="4">
        <v>2</v>
      </c>
      <c r="M151" s="4">
        <v>1</v>
      </c>
      <c r="N151" s="4">
        <v>2</v>
      </c>
      <c r="O151" s="4">
        <v>4</v>
      </c>
      <c r="P151" s="4">
        <v>7</v>
      </c>
      <c r="Q151" s="4">
        <v>2</v>
      </c>
      <c r="R151" s="4">
        <v>0</v>
      </c>
      <c r="S151" s="4">
        <v>3</v>
      </c>
      <c r="T151" s="4">
        <v>1</v>
      </c>
      <c r="U151" s="4">
        <v>2</v>
      </c>
      <c r="V151" s="4">
        <v>1</v>
      </c>
      <c r="W151" s="4">
        <v>1</v>
      </c>
      <c r="X151" s="4">
        <v>0</v>
      </c>
      <c r="Y151" s="14">
        <v>7.1470588235294121</v>
      </c>
      <c r="Z151" s="4">
        <v>150</v>
      </c>
      <c r="AA151" s="4">
        <v>34</v>
      </c>
      <c r="AB151" s="24">
        <v>9.6833333333333336</v>
      </c>
      <c r="AC151" s="24">
        <v>11.816666666666666</v>
      </c>
      <c r="AD151" s="24">
        <v>2.1333333333333329</v>
      </c>
      <c r="AE151" s="25">
        <f>Table3[[#This Row],[flies_out]]/Table3[[#This Row],[flies_in]]</f>
        <v>0.22666666666666666</v>
      </c>
    </row>
    <row r="152" spans="1:31" s="4" customFormat="1" x14ac:dyDescent="0.35">
      <c r="A152" s="4">
        <v>9</v>
      </c>
      <c r="B152" t="s">
        <v>118</v>
      </c>
      <c r="C152" s="4">
        <v>1</v>
      </c>
      <c r="D152" s="5" t="s">
        <v>104</v>
      </c>
      <c r="E152" s="4" t="s">
        <v>3</v>
      </c>
      <c r="F152" s="4">
        <v>1</v>
      </c>
      <c r="G152" s="4" t="s">
        <v>112</v>
      </c>
      <c r="H152" s="12" t="s">
        <v>2</v>
      </c>
      <c r="I152" s="4">
        <v>0</v>
      </c>
      <c r="J152" s="4">
        <v>1</v>
      </c>
      <c r="K152" s="4">
        <v>0</v>
      </c>
      <c r="L152" s="4">
        <v>0</v>
      </c>
      <c r="M152" s="4">
        <v>1</v>
      </c>
      <c r="N152" s="4">
        <v>2</v>
      </c>
      <c r="O152" s="4">
        <v>3</v>
      </c>
      <c r="P152" s="4">
        <v>2</v>
      </c>
      <c r="Q152" s="4">
        <v>4</v>
      </c>
      <c r="R152" s="4">
        <v>23</v>
      </c>
      <c r="S152" s="4">
        <v>9</v>
      </c>
      <c r="T152" s="4">
        <v>7</v>
      </c>
      <c r="U152" s="4">
        <v>8</v>
      </c>
      <c r="V152" s="4">
        <v>4</v>
      </c>
      <c r="W152" s="4">
        <v>33</v>
      </c>
      <c r="X152" s="4">
        <v>25</v>
      </c>
      <c r="Y152" s="14">
        <v>12.78688524590164</v>
      </c>
      <c r="Z152" s="4">
        <v>150</v>
      </c>
      <c r="AA152" s="4">
        <v>122</v>
      </c>
      <c r="AB152" s="24">
        <v>12.1</v>
      </c>
      <c r="AC152" s="24">
        <v>16.083333333333332</v>
      </c>
      <c r="AD152" s="24">
        <v>3.9833333333333325</v>
      </c>
      <c r="AE152" s="25">
        <f>Table3[[#This Row],[flies_out]]/Table3[[#This Row],[flies_in]]</f>
        <v>0.81333333333333335</v>
      </c>
    </row>
    <row r="153" spans="1:31" s="4" customFormat="1" x14ac:dyDescent="0.35">
      <c r="A153" s="4">
        <v>9</v>
      </c>
      <c r="B153" t="s">
        <v>118</v>
      </c>
      <c r="C153" s="4">
        <v>1</v>
      </c>
      <c r="D153" s="5" t="s">
        <v>104</v>
      </c>
      <c r="E153" s="4" t="s">
        <v>3</v>
      </c>
      <c r="F153" s="4">
        <v>1</v>
      </c>
      <c r="G153" s="4" t="s">
        <v>113</v>
      </c>
      <c r="H153" s="12" t="s">
        <v>0</v>
      </c>
      <c r="I153" s="4">
        <v>8</v>
      </c>
      <c r="J153" s="4">
        <v>25</v>
      </c>
      <c r="K153" s="4">
        <v>13</v>
      </c>
      <c r="L153" s="4">
        <v>3</v>
      </c>
      <c r="M153" s="4">
        <v>10</v>
      </c>
      <c r="N153" s="4">
        <v>14</v>
      </c>
      <c r="O153" s="4">
        <v>12</v>
      </c>
      <c r="P153" s="4">
        <v>16</v>
      </c>
      <c r="Q153" s="4">
        <v>7</v>
      </c>
      <c r="R153" s="4">
        <v>10</v>
      </c>
      <c r="S153" s="4">
        <v>12</v>
      </c>
      <c r="T153" s="4">
        <v>8</v>
      </c>
      <c r="U153" s="4">
        <v>9</v>
      </c>
      <c r="V153" s="4">
        <v>2</v>
      </c>
      <c r="W153" s="4">
        <v>1</v>
      </c>
      <c r="X153" s="4">
        <v>0</v>
      </c>
      <c r="Y153" s="14">
        <v>6.706666666666667</v>
      </c>
      <c r="Z153" s="4">
        <v>150</v>
      </c>
      <c r="AA153" s="4">
        <v>150</v>
      </c>
      <c r="AB153" s="24">
        <v>12.1</v>
      </c>
      <c r="AC153" s="24">
        <v>16.216666666666669</v>
      </c>
      <c r="AD153" s="24">
        <v>4.1166666666666689</v>
      </c>
      <c r="AE153" s="25">
        <f>Table3[[#This Row],[flies_out]]/Table3[[#This Row],[flies_in]]</f>
        <v>1</v>
      </c>
    </row>
    <row r="154" spans="1:31" s="4" customFormat="1" x14ac:dyDescent="0.35">
      <c r="A154" s="4">
        <v>9</v>
      </c>
      <c r="B154" t="s">
        <v>118</v>
      </c>
      <c r="C154" s="4">
        <v>1</v>
      </c>
      <c r="D154" s="5" t="s">
        <v>104</v>
      </c>
      <c r="E154" s="4" t="s">
        <v>3</v>
      </c>
      <c r="F154" s="4">
        <v>1</v>
      </c>
      <c r="G154" s="4" t="s">
        <v>1</v>
      </c>
      <c r="H154" s="12" t="s">
        <v>0</v>
      </c>
      <c r="I154" s="4">
        <v>0</v>
      </c>
      <c r="J154" s="4">
        <v>0</v>
      </c>
      <c r="K154" s="4">
        <v>0</v>
      </c>
      <c r="L154" s="4">
        <v>0</v>
      </c>
      <c r="M154" s="4">
        <v>1</v>
      </c>
      <c r="N154" s="4">
        <v>11</v>
      </c>
      <c r="O154" s="4">
        <v>5</v>
      </c>
      <c r="P154" s="4">
        <v>7</v>
      </c>
      <c r="Q154" s="4">
        <v>8</v>
      </c>
      <c r="R154" s="4">
        <v>2</v>
      </c>
      <c r="S154" s="4">
        <v>0</v>
      </c>
      <c r="T154" s="4">
        <v>1</v>
      </c>
      <c r="U154" s="4">
        <v>1</v>
      </c>
      <c r="V154" s="4">
        <v>0</v>
      </c>
      <c r="W154" s="4">
        <v>0</v>
      </c>
      <c r="X154" s="4">
        <v>0</v>
      </c>
      <c r="Y154" s="14">
        <v>7.75</v>
      </c>
      <c r="Z154" s="4">
        <v>150</v>
      </c>
      <c r="AA154" s="4">
        <v>36</v>
      </c>
      <c r="AB154" s="24">
        <v>12.1</v>
      </c>
      <c r="AC154" s="24">
        <v>16.366666666666667</v>
      </c>
      <c r="AD154" s="24">
        <v>4.2666666666666675</v>
      </c>
      <c r="AE154" s="25">
        <f>Table3[[#This Row],[flies_out]]/Table3[[#This Row],[flies_in]]</f>
        <v>0.24</v>
      </c>
    </row>
    <row r="155" spans="1:31" s="4" customFormat="1" x14ac:dyDescent="0.35">
      <c r="A155" s="4">
        <v>9</v>
      </c>
      <c r="B155" t="s">
        <v>118</v>
      </c>
      <c r="C155" s="4">
        <v>1</v>
      </c>
      <c r="D155" s="5" t="s">
        <v>104</v>
      </c>
      <c r="E155" s="4" t="s">
        <v>3</v>
      </c>
      <c r="F155" s="4">
        <v>1</v>
      </c>
      <c r="G155" s="4" t="s">
        <v>114</v>
      </c>
      <c r="H155" s="12" t="s">
        <v>2</v>
      </c>
      <c r="I155" s="4">
        <v>16</v>
      </c>
      <c r="J155" s="4">
        <v>13</v>
      </c>
      <c r="K155" s="4">
        <v>11</v>
      </c>
      <c r="L155" s="4">
        <v>16</v>
      </c>
      <c r="M155" s="4">
        <v>11</v>
      </c>
      <c r="N155" s="4">
        <v>18</v>
      </c>
      <c r="O155" s="4">
        <v>7</v>
      </c>
      <c r="P155" s="4">
        <v>4</v>
      </c>
      <c r="Q155" s="4">
        <v>8</v>
      </c>
      <c r="R155" s="4">
        <v>0</v>
      </c>
      <c r="S155" s="4">
        <v>4</v>
      </c>
      <c r="T155" s="4">
        <v>3</v>
      </c>
      <c r="U155" s="4">
        <v>1</v>
      </c>
      <c r="V155" s="4">
        <v>2</v>
      </c>
      <c r="W155" s="4">
        <v>0</v>
      </c>
      <c r="X155" s="4">
        <v>0</v>
      </c>
      <c r="Y155" s="14">
        <v>5.0526315789473681</v>
      </c>
      <c r="Z155" s="4">
        <v>150</v>
      </c>
      <c r="AA155" s="4">
        <v>114</v>
      </c>
      <c r="AB155" s="24">
        <v>12.1</v>
      </c>
      <c r="AC155" s="24">
        <v>16.483333333333334</v>
      </c>
      <c r="AD155" s="24">
        <v>4.3833333333333346</v>
      </c>
      <c r="AE155" s="25">
        <f>Table3[[#This Row],[flies_out]]/Table3[[#This Row],[flies_in]]</f>
        <v>0.76</v>
      </c>
    </row>
    <row r="156" spans="1:31" s="4" customFormat="1" x14ac:dyDescent="0.35">
      <c r="A156" s="4">
        <v>9</v>
      </c>
      <c r="B156" t="s">
        <v>117</v>
      </c>
      <c r="C156" s="4">
        <v>2</v>
      </c>
      <c r="D156" s="5" t="s">
        <v>104</v>
      </c>
      <c r="E156" s="4" t="s">
        <v>3</v>
      </c>
      <c r="F156" s="4">
        <v>4</v>
      </c>
      <c r="G156" s="4" t="s">
        <v>112</v>
      </c>
      <c r="H156" s="12" t="s">
        <v>2</v>
      </c>
      <c r="I156" s="4">
        <v>0</v>
      </c>
      <c r="J156" s="4">
        <v>2</v>
      </c>
      <c r="K156" s="4">
        <v>1</v>
      </c>
      <c r="L156" s="4">
        <v>1</v>
      </c>
      <c r="M156" s="4">
        <v>3</v>
      </c>
      <c r="N156" s="4">
        <v>1</v>
      </c>
      <c r="O156" s="4">
        <v>4</v>
      </c>
      <c r="P156" s="4">
        <v>2</v>
      </c>
      <c r="Q156" s="4">
        <v>2</v>
      </c>
      <c r="R156" s="4">
        <v>23</v>
      </c>
      <c r="S156" s="4">
        <v>12</v>
      </c>
      <c r="T156" s="4">
        <v>5</v>
      </c>
      <c r="U156" s="4">
        <v>4</v>
      </c>
      <c r="V156" s="4">
        <v>6</v>
      </c>
      <c r="W156" s="4">
        <v>24</v>
      </c>
      <c r="X156" s="4">
        <v>20</v>
      </c>
      <c r="Y156" s="14">
        <v>12.109090909090909</v>
      </c>
      <c r="Z156" s="4">
        <v>150</v>
      </c>
      <c r="AA156" s="4">
        <v>110</v>
      </c>
      <c r="AB156" s="24">
        <v>9.1666666666666661</v>
      </c>
      <c r="AC156" s="24">
        <v>11.25</v>
      </c>
      <c r="AD156" s="24">
        <v>2.0833333333333339</v>
      </c>
      <c r="AE156" s="25">
        <f>Table3[[#This Row],[flies_out]]/Table3[[#This Row],[flies_in]]</f>
        <v>0.73333333333333328</v>
      </c>
    </row>
    <row r="157" spans="1:31" s="4" customFormat="1" x14ac:dyDescent="0.35">
      <c r="A157" s="4">
        <v>9</v>
      </c>
      <c r="B157" t="s">
        <v>117</v>
      </c>
      <c r="C157" s="4">
        <v>2</v>
      </c>
      <c r="D157" s="5" t="s">
        <v>104</v>
      </c>
      <c r="E157" s="4" t="s">
        <v>3</v>
      </c>
      <c r="F157" s="4">
        <v>4</v>
      </c>
      <c r="G157" s="4" t="s">
        <v>113</v>
      </c>
      <c r="H157" s="12" t="s">
        <v>0</v>
      </c>
      <c r="I157" s="4">
        <v>5</v>
      </c>
      <c r="J157" s="4">
        <v>11</v>
      </c>
      <c r="K157" s="4">
        <v>9</v>
      </c>
      <c r="L157" s="4">
        <v>2</v>
      </c>
      <c r="M157" s="4">
        <v>6</v>
      </c>
      <c r="N157" s="4">
        <v>13</v>
      </c>
      <c r="O157" s="4">
        <v>7</v>
      </c>
      <c r="P157" s="4">
        <v>9</v>
      </c>
      <c r="Q157" s="4">
        <v>8</v>
      </c>
      <c r="R157" s="4">
        <v>9</v>
      </c>
      <c r="S157" s="4">
        <v>8</v>
      </c>
      <c r="T157" s="4">
        <v>10</v>
      </c>
      <c r="U157" s="4">
        <v>5</v>
      </c>
      <c r="V157" s="4">
        <v>1</v>
      </c>
      <c r="W157" s="4">
        <v>2</v>
      </c>
      <c r="X157" s="4">
        <v>1</v>
      </c>
      <c r="Y157" s="14">
        <v>7.4150943396226419</v>
      </c>
      <c r="Z157" s="4">
        <v>150</v>
      </c>
      <c r="AA157" s="4">
        <v>106</v>
      </c>
      <c r="AB157" s="24">
        <v>9.1666666666666661</v>
      </c>
      <c r="AC157" s="24">
        <v>11.450000000000001</v>
      </c>
      <c r="AD157" s="24">
        <v>2.283333333333335</v>
      </c>
      <c r="AE157" s="25">
        <f>Table3[[#This Row],[flies_out]]/Table3[[#This Row],[flies_in]]</f>
        <v>0.70666666666666667</v>
      </c>
    </row>
    <row r="158" spans="1:31" s="4" customFormat="1" x14ac:dyDescent="0.35">
      <c r="A158" s="4">
        <v>9</v>
      </c>
      <c r="B158" t="s">
        <v>117</v>
      </c>
      <c r="C158" s="4">
        <v>2</v>
      </c>
      <c r="D158" s="5" t="s">
        <v>104</v>
      </c>
      <c r="E158" s="4" t="s">
        <v>3</v>
      </c>
      <c r="F158" s="4">
        <v>4</v>
      </c>
      <c r="G158" s="4" t="s">
        <v>1</v>
      </c>
      <c r="H158" s="12" t="s">
        <v>0</v>
      </c>
      <c r="I158" s="4">
        <v>7</v>
      </c>
      <c r="J158" s="4">
        <v>10</v>
      </c>
      <c r="K158" s="4">
        <v>26</v>
      </c>
      <c r="L158" s="4">
        <v>3</v>
      </c>
      <c r="M158" s="4">
        <v>7</v>
      </c>
      <c r="N158" s="4">
        <v>11</v>
      </c>
      <c r="O158" s="4">
        <v>8</v>
      </c>
      <c r="P158" s="4">
        <v>8</v>
      </c>
      <c r="Q158" s="4">
        <v>10</v>
      </c>
      <c r="R158" s="4">
        <v>6</v>
      </c>
      <c r="S158" s="4">
        <v>7</v>
      </c>
      <c r="T158" s="4">
        <v>2</v>
      </c>
      <c r="U158" s="4">
        <v>0</v>
      </c>
      <c r="V158" s="4">
        <v>0</v>
      </c>
      <c r="W158" s="4">
        <v>1</v>
      </c>
      <c r="X158" s="4">
        <v>0</v>
      </c>
      <c r="Y158" s="14">
        <v>5.6981132075471699</v>
      </c>
      <c r="Z158" s="4">
        <v>150</v>
      </c>
      <c r="AA158" s="4">
        <v>106</v>
      </c>
      <c r="AB158" s="24">
        <v>9.1666666666666661</v>
      </c>
      <c r="AC158" s="24">
        <v>11.6</v>
      </c>
      <c r="AD158" s="24">
        <v>2.4333333333333336</v>
      </c>
      <c r="AE158" s="25">
        <f>Table3[[#This Row],[flies_out]]/Table3[[#This Row],[flies_in]]</f>
        <v>0.70666666666666667</v>
      </c>
    </row>
    <row r="159" spans="1:31" s="4" customFormat="1" x14ac:dyDescent="0.35">
      <c r="A159" s="4">
        <v>9</v>
      </c>
      <c r="B159" t="s">
        <v>117</v>
      </c>
      <c r="C159" s="4">
        <v>2</v>
      </c>
      <c r="D159" s="5" t="s">
        <v>104</v>
      </c>
      <c r="E159" s="4" t="s">
        <v>3</v>
      </c>
      <c r="F159" s="4">
        <v>4</v>
      </c>
      <c r="G159" s="4" t="s">
        <v>114</v>
      </c>
      <c r="H159" s="12" t="s">
        <v>2</v>
      </c>
      <c r="I159" s="4">
        <v>11</v>
      </c>
      <c r="J159" s="4">
        <v>8</v>
      </c>
      <c r="K159" s="4">
        <v>9</v>
      </c>
      <c r="L159" s="4">
        <v>9</v>
      </c>
      <c r="M159" s="4">
        <v>14</v>
      </c>
      <c r="N159" s="4">
        <v>7</v>
      </c>
      <c r="O159" s="4">
        <v>5</v>
      </c>
      <c r="P159" s="4">
        <v>10</v>
      </c>
      <c r="Q159" s="4">
        <v>7</v>
      </c>
      <c r="R159" s="4">
        <v>0</v>
      </c>
      <c r="S159" s="4">
        <v>6</v>
      </c>
      <c r="T159" s="4">
        <v>2</v>
      </c>
      <c r="U159" s="4">
        <v>1</v>
      </c>
      <c r="V159" s="4">
        <v>1</v>
      </c>
      <c r="W159" s="4">
        <v>1</v>
      </c>
      <c r="X159" s="4">
        <v>0</v>
      </c>
      <c r="Y159" s="14">
        <v>5.6263736263736268</v>
      </c>
      <c r="Z159" s="4">
        <v>150</v>
      </c>
      <c r="AA159" s="4">
        <v>91</v>
      </c>
      <c r="AB159" s="24">
        <v>9.1666666666666661</v>
      </c>
      <c r="AC159" s="24">
        <v>11.75</v>
      </c>
      <c r="AD159" s="24">
        <v>2.5833333333333339</v>
      </c>
      <c r="AE159" s="25">
        <f>Table3[[#This Row],[flies_out]]/Table3[[#This Row],[flies_in]]</f>
        <v>0.60666666666666669</v>
      </c>
    </row>
    <row r="160" spans="1:31" s="4" customFormat="1" x14ac:dyDescent="0.35">
      <c r="A160" s="4">
        <v>9</v>
      </c>
      <c r="B160" t="s">
        <v>118</v>
      </c>
      <c r="C160" s="4">
        <v>2</v>
      </c>
      <c r="D160" s="5" t="s">
        <v>105</v>
      </c>
      <c r="E160" s="4" t="s">
        <v>3</v>
      </c>
      <c r="F160" s="4">
        <v>3</v>
      </c>
      <c r="G160" s="4" t="s">
        <v>112</v>
      </c>
      <c r="H160" s="12" t="s">
        <v>2</v>
      </c>
      <c r="I160" s="4">
        <v>1</v>
      </c>
      <c r="J160" s="4">
        <v>0</v>
      </c>
      <c r="K160" s="4">
        <v>0</v>
      </c>
      <c r="L160" s="4">
        <v>0</v>
      </c>
      <c r="M160" s="4">
        <v>2</v>
      </c>
      <c r="N160" s="4">
        <v>2</v>
      </c>
      <c r="O160" s="4">
        <v>5</v>
      </c>
      <c r="P160" s="4">
        <v>0</v>
      </c>
      <c r="Q160" s="4">
        <v>2</v>
      </c>
      <c r="R160" s="4">
        <v>4</v>
      </c>
      <c r="S160" s="4">
        <v>4</v>
      </c>
      <c r="T160" s="4">
        <v>2</v>
      </c>
      <c r="U160" s="4">
        <v>5</v>
      </c>
      <c r="V160" s="4">
        <v>2</v>
      </c>
      <c r="W160" s="4">
        <v>14</v>
      </c>
      <c r="X160" s="4">
        <v>9</v>
      </c>
      <c r="Y160" s="14">
        <v>12.134615384615385</v>
      </c>
      <c r="Z160" s="4">
        <v>150</v>
      </c>
      <c r="AA160" s="4">
        <v>52</v>
      </c>
      <c r="AB160" s="24">
        <v>12.5</v>
      </c>
      <c r="AC160" s="24">
        <v>18.283333333333331</v>
      </c>
      <c r="AD160" s="24">
        <v>5.7833333333333314</v>
      </c>
      <c r="AE160" s="25">
        <f>Table3[[#This Row],[flies_out]]/Table3[[#This Row],[flies_in]]</f>
        <v>0.34666666666666668</v>
      </c>
    </row>
    <row r="161" spans="1:31" s="4" customFormat="1" x14ac:dyDescent="0.35">
      <c r="A161" s="4">
        <v>9</v>
      </c>
      <c r="B161" t="s">
        <v>118</v>
      </c>
      <c r="C161" s="4">
        <v>2</v>
      </c>
      <c r="D161" s="5" t="s">
        <v>105</v>
      </c>
      <c r="E161" s="4" t="s">
        <v>3</v>
      </c>
      <c r="F161" s="4">
        <v>3</v>
      </c>
      <c r="G161" s="4" t="s">
        <v>113</v>
      </c>
      <c r="H161" s="12" t="s">
        <v>0</v>
      </c>
      <c r="I161" s="4">
        <v>10</v>
      </c>
      <c r="J161" s="4">
        <v>11</v>
      </c>
      <c r="K161" s="4">
        <v>10</v>
      </c>
      <c r="L161" s="4">
        <v>3</v>
      </c>
      <c r="M161" s="4">
        <v>8</v>
      </c>
      <c r="N161" s="4">
        <v>7</v>
      </c>
      <c r="O161" s="4">
        <v>9</v>
      </c>
      <c r="P161" s="4">
        <v>6</v>
      </c>
      <c r="Q161" s="4">
        <v>7</v>
      </c>
      <c r="R161" s="4">
        <v>4</v>
      </c>
      <c r="S161" s="4">
        <v>3</v>
      </c>
      <c r="T161" s="4">
        <v>4</v>
      </c>
      <c r="U161" s="4">
        <v>0</v>
      </c>
      <c r="V161" s="4">
        <v>1</v>
      </c>
      <c r="W161" s="4">
        <v>0</v>
      </c>
      <c r="X161" s="4">
        <v>0</v>
      </c>
      <c r="Y161" s="14">
        <v>5.6024096385542173</v>
      </c>
      <c r="Z161" s="4">
        <v>150</v>
      </c>
      <c r="AA161" s="4">
        <v>83</v>
      </c>
      <c r="AB161" s="24">
        <v>12.5</v>
      </c>
      <c r="AC161" s="24">
        <v>17.966666666666669</v>
      </c>
      <c r="AD161" s="24">
        <v>5.4666666666666686</v>
      </c>
      <c r="AE161" s="25">
        <f>Table3[[#This Row],[flies_out]]/Table3[[#This Row],[flies_in]]</f>
        <v>0.55333333333333334</v>
      </c>
    </row>
    <row r="162" spans="1:31" s="4" customFormat="1" x14ac:dyDescent="0.35">
      <c r="A162" s="4">
        <v>9</v>
      </c>
      <c r="B162" t="s">
        <v>118</v>
      </c>
      <c r="C162" s="4">
        <v>2</v>
      </c>
      <c r="D162" s="5" t="s">
        <v>105</v>
      </c>
      <c r="E162" s="4" t="s">
        <v>3</v>
      </c>
      <c r="F162" s="4">
        <v>3</v>
      </c>
      <c r="G162" s="4" t="s">
        <v>1</v>
      </c>
      <c r="H162" s="12" t="s">
        <v>0</v>
      </c>
      <c r="I162" s="4">
        <v>10</v>
      </c>
      <c r="J162" s="4">
        <v>16</v>
      </c>
      <c r="K162" s="4">
        <v>28</v>
      </c>
      <c r="L162" s="4">
        <v>4</v>
      </c>
      <c r="M162" s="4">
        <v>10</v>
      </c>
      <c r="N162" s="4">
        <v>23</v>
      </c>
      <c r="O162" s="4">
        <v>12</v>
      </c>
      <c r="P162" s="4">
        <v>10</v>
      </c>
      <c r="Q162" s="4">
        <v>12</v>
      </c>
      <c r="R162" s="4">
        <v>3</v>
      </c>
      <c r="S162" s="4">
        <v>1</v>
      </c>
      <c r="T162" s="4">
        <v>1</v>
      </c>
      <c r="U162" s="4">
        <v>1</v>
      </c>
      <c r="V162" s="4">
        <v>0</v>
      </c>
      <c r="W162" s="4">
        <v>0</v>
      </c>
      <c r="X162" s="4">
        <v>1</v>
      </c>
      <c r="Y162" s="14">
        <v>5.1818181818181817</v>
      </c>
      <c r="Z162" s="4">
        <v>150</v>
      </c>
      <c r="AA162" s="4">
        <v>132</v>
      </c>
      <c r="AB162" s="24">
        <v>12.499999999999993</v>
      </c>
      <c r="AC162" s="24">
        <v>18.133333333333333</v>
      </c>
      <c r="AD162" s="24">
        <v>5.63333333333334</v>
      </c>
      <c r="AE162" s="25">
        <f>Table3[[#This Row],[flies_out]]/Table3[[#This Row],[flies_in]]</f>
        <v>0.88</v>
      </c>
    </row>
    <row r="163" spans="1:31" s="4" customFormat="1" x14ac:dyDescent="0.35">
      <c r="A163" s="4">
        <v>9</v>
      </c>
      <c r="B163" t="s">
        <v>118</v>
      </c>
      <c r="C163" s="4">
        <v>2</v>
      </c>
      <c r="D163" s="5" t="s">
        <v>105</v>
      </c>
      <c r="E163" s="4" t="s">
        <v>3</v>
      </c>
      <c r="F163" s="4">
        <v>3</v>
      </c>
      <c r="G163" s="4" t="s">
        <v>114</v>
      </c>
      <c r="H163" s="12" t="s">
        <v>2</v>
      </c>
      <c r="I163" s="4">
        <v>2</v>
      </c>
      <c r="J163" s="4">
        <v>4</v>
      </c>
      <c r="K163" s="4">
        <v>6</v>
      </c>
      <c r="L163" s="4">
        <v>5</v>
      </c>
      <c r="M163" s="4">
        <v>9</v>
      </c>
      <c r="N163" s="4">
        <v>9</v>
      </c>
      <c r="O163" s="4">
        <v>5</v>
      </c>
      <c r="P163" s="4">
        <v>15</v>
      </c>
      <c r="Q163" s="4">
        <v>5</v>
      </c>
      <c r="R163" s="4">
        <v>0</v>
      </c>
      <c r="S163" s="4">
        <v>6</v>
      </c>
      <c r="T163" s="4">
        <v>4</v>
      </c>
      <c r="U163" s="4">
        <v>2</v>
      </c>
      <c r="V163" s="4">
        <v>1</v>
      </c>
      <c r="W163" s="4">
        <v>0</v>
      </c>
      <c r="X163" s="4">
        <v>0</v>
      </c>
      <c r="Y163" s="14">
        <v>6.8630136986301373</v>
      </c>
      <c r="Z163" s="4">
        <v>150</v>
      </c>
      <c r="AA163" s="4">
        <v>73</v>
      </c>
      <c r="AB163" s="24">
        <v>12.499999999999993</v>
      </c>
      <c r="AC163" s="24">
        <v>17.833333333333336</v>
      </c>
      <c r="AD163" s="24">
        <v>5.3333333333333428</v>
      </c>
      <c r="AE163" s="25">
        <f>Table3[[#This Row],[flies_out]]/Table3[[#This Row],[flies_in]]</f>
        <v>0.48666666666666669</v>
      </c>
    </row>
    <row r="164" spans="1:31" x14ac:dyDescent="0.35">
      <c r="A164">
        <v>10</v>
      </c>
      <c r="B164" t="s">
        <v>117</v>
      </c>
      <c r="C164">
        <v>1</v>
      </c>
      <c r="D164" s="2" t="s">
        <v>104</v>
      </c>
      <c r="E164" s="20" t="s">
        <v>3</v>
      </c>
      <c r="F164" s="20">
        <v>1</v>
      </c>
      <c r="G164" s="20" t="s">
        <v>112</v>
      </c>
      <c r="H164" s="11" t="s">
        <v>0</v>
      </c>
      <c r="I164">
        <v>1</v>
      </c>
      <c r="J164">
        <v>1</v>
      </c>
      <c r="K164">
        <v>2</v>
      </c>
      <c r="L164">
        <v>1</v>
      </c>
      <c r="M164">
        <v>7</v>
      </c>
      <c r="N164">
        <v>6</v>
      </c>
      <c r="O164">
        <v>4</v>
      </c>
      <c r="P164">
        <v>6</v>
      </c>
      <c r="Q164">
        <v>8</v>
      </c>
      <c r="R164">
        <v>19</v>
      </c>
      <c r="S164">
        <v>4</v>
      </c>
      <c r="T164">
        <v>2</v>
      </c>
      <c r="U164">
        <v>10</v>
      </c>
      <c r="V164">
        <v>7</v>
      </c>
      <c r="W164">
        <v>14</v>
      </c>
      <c r="X164">
        <v>4</v>
      </c>
      <c r="Y164" s="15">
        <v>10.333333333333334</v>
      </c>
      <c r="Z164">
        <v>150</v>
      </c>
      <c r="AA164">
        <v>96</v>
      </c>
      <c r="AB164" s="25">
        <v>9.5</v>
      </c>
      <c r="AC164" s="25">
        <v>12.083333333333332</v>
      </c>
      <c r="AD164" s="25">
        <v>2.5833333333333321</v>
      </c>
      <c r="AE164" s="25">
        <f>Table3[[#This Row],[flies_out]]/Table3[[#This Row],[flies_in]]</f>
        <v>0.64</v>
      </c>
    </row>
    <row r="165" spans="1:31" x14ac:dyDescent="0.35">
      <c r="A165">
        <v>10</v>
      </c>
      <c r="B165" t="s">
        <v>117</v>
      </c>
      <c r="C165">
        <v>1</v>
      </c>
      <c r="D165" s="2" t="s">
        <v>104</v>
      </c>
      <c r="E165" s="20" t="s">
        <v>3</v>
      </c>
      <c r="F165" s="20">
        <v>1</v>
      </c>
      <c r="G165" s="20" t="s">
        <v>113</v>
      </c>
      <c r="H165" s="11" t="s">
        <v>2</v>
      </c>
      <c r="I165">
        <v>3</v>
      </c>
      <c r="J165">
        <v>8</v>
      </c>
      <c r="K165">
        <v>5</v>
      </c>
      <c r="L165">
        <v>2</v>
      </c>
      <c r="M165">
        <v>1</v>
      </c>
      <c r="N165">
        <v>6</v>
      </c>
      <c r="O165">
        <v>21</v>
      </c>
      <c r="P165">
        <v>10</v>
      </c>
      <c r="Q165">
        <v>15</v>
      </c>
      <c r="R165">
        <v>4</v>
      </c>
      <c r="S165">
        <v>11</v>
      </c>
      <c r="T165">
        <v>5</v>
      </c>
      <c r="U165">
        <v>4</v>
      </c>
      <c r="V165">
        <v>1</v>
      </c>
      <c r="W165">
        <v>0</v>
      </c>
      <c r="X165">
        <v>0</v>
      </c>
      <c r="Y165" s="15">
        <v>7.625</v>
      </c>
      <c r="Z165">
        <v>150</v>
      </c>
      <c r="AA165">
        <v>96</v>
      </c>
      <c r="AB165" s="25">
        <v>9.5</v>
      </c>
      <c r="AC165" s="25">
        <v>12.25</v>
      </c>
      <c r="AD165" s="25">
        <v>2.75</v>
      </c>
      <c r="AE165" s="25">
        <f>Table3[[#This Row],[flies_out]]/Table3[[#This Row],[flies_in]]</f>
        <v>0.64</v>
      </c>
    </row>
    <row r="166" spans="1:31" x14ac:dyDescent="0.35">
      <c r="A166">
        <v>10</v>
      </c>
      <c r="B166" t="s">
        <v>117</v>
      </c>
      <c r="C166">
        <v>1</v>
      </c>
      <c r="D166" s="2" t="s">
        <v>104</v>
      </c>
      <c r="E166" s="20" t="s">
        <v>3</v>
      </c>
      <c r="F166" s="20">
        <v>1</v>
      </c>
      <c r="G166" s="20" t="s">
        <v>1</v>
      </c>
      <c r="H166" s="11" t="s">
        <v>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</v>
      </c>
      <c r="O166">
        <v>0</v>
      </c>
      <c r="P166">
        <v>4</v>
      </c>
      <c r="Q166">
        <v>18</v>
      </c>
      <c r="R166">
        <v>0</v>
      </c>
      <c r="S166">
        <v>6</v>
      </c>
      <c r="T166">
        <v>3</v>
      </c>
      <c r="U166">
        <v>2</v>
      </c>
      <c r="V166">
        <v>2</v>
      </c>
      <c r="W166">
        <v>0</v>
      </c>
      <c r="X166">
        <v>0</v>
      </c>
      <c r="Y166" s="15">
        <v>9.7837837837837842</v>
      </c>
      <c r="Z166">
        <v>125</v>
      </c>
      <c r="AA166">
        <v>37</v>
      </c>
      <c r="AB166" s="25">
        <v>9.5</v>
      </c>
      <c r="AC166" s="25">
        <v>12.450000000000001</v>
      </c>
      <c r="AD166" s="25">
        <v>2.9500000000000011</v>
      </c>
      <c r="AE166" s="25">
        <f>Table3[[#This Row],[flies_out]]/Table3[[#This Row],[flies_in]]</f>
        <v>0.29599999999999999</v>
      </c>
    </row>
    <row r="167" spans="1:31" x14ac:dyDescent="0.35">
      <c r="A167">
        <v>10</v>
      </c>
      <c r="B167" t="s">
        <v>117</v>
      </c>
      <c r="C167">
        <v>1</v>
      </c>
      <c r="D167" s="2" t="s">
        <v>104</v>
      </c>
      <c r="E167" s="20" t="s">
        <v>3</v>
      </c>
      <c r="F167" s="20">
        <v>1</v>
      </c>
      <c r="G167" s="20" t="s">
        <v>114</v>
      </c>
      <c r="H167" s="11" t="s">
        <v>0</v>
      </c>
      <c r="I167">
        <v>9</v>
      </c>
      <c r="J167">
        <v>9</v>
      </c>
      <c r="K167">
        <v>8</v>
      </c>
      <c r="L167">
        <v>8</v>
      </c>
      <c r="M167">
        <v>7</v>
      </c>
      <c r="N167">
        <v>9</v>
      </c>
      <c r="O167">
        <v>11</v>
      </c>
      <c r="P167">
        <v>18</v>
      </c>
      <c r="Q167">
        <v>8</v>
      </c>
      <c r="R167">
        <v>0</v>
      </c>
      <c r="S167">
        <v>8</v>
      </c>
      <c r="T167">
        <v>2</v>
      </c>
      <c r="U167">
        <v>2</v>
      </c>
      <c r="V167">
        <v>0</v>
      </c>
      <c r="W167">
        <v>0</v>
      </c>
      <c r="X167">
        <v>0</v>
      </c>
      <c r="Y167" s="15">
        <v>6.0909090909090908</v>
      </c>
      <c r="Z167">
        <v>150</v>
      </c>
      <c r="AA167">
        <v>99</v>
      </c>
      <c r="AB167" s="25">
        <v>9.5</v>
      </c>
      <c r="AC167" s="25">
        <v>12.583333333333334</v>
      </c>
      <c r="AD167" s="25">
        <v>3.0833333333333339</v>
      </c>
      <c r="AE167" s="25">
        <f>Table3[[#This Row],[flies_out]]/Table3[[#This Row],[flies_in]]</f>
        <v>0.66</v>
      </c>
    </row>
    <row r="168" spans="1:31" x14ac:dyDescent="0.35">
      <c r="A168">
        <v>10</v>
      </c>
      <c r="B168" t="s">
        <v>118</v>
      </c>
      <c r="C168">
        <v>1</v>
      </c>
      <c r="D168" s="2" t="s">
        <v>106</v>
      </c>
      <c r="E168" s="20" t="s">
        <v>3</v>
      </c>
      <c r="F168" s="20">
        <v>2</v>
      </c>
      <c r="G168" s="20" t="s">
        <v>112</v>
      </c>
      <c r="H168" s="11" t="s">
        <v>0</v>
      </c>
      <c r="I168">
        <v>0</v>
      </c>
      <c r="J168">
        <v>0</v>
      </c>
      <c r="K168">
        <v>1</v>
      </c>
      <c r="L168">
        <v>0</v>
      </c>
      <c r="M168">
        <v>5</v>
      </c>
      <c r="N168">
        <v>3</v>
      </c>
      <c r="O168">
        <v>1</v>
      </c>
      <c r="P168">
        <v>6</v>
      </c>
      <c r="Q168">
        <v>6</v>
      </c>
      <c r="R168">
        <v>10</v>
      </c>
      <c r="S168">
        <v>4</v>
      </c>
      <c r="T168">
        <v>2</v>
      </c>
      <c r="U168">
        <v>3</v>
      </c>
      <c r="V168">
        <v>4</v>
      </c>
      <c r="W168">
        <v>30</v>
      </c>
      <c r="X168">
        <v>8</v>
      </c>
      <c r="Y168" s="15">
        <v>12</v>
      </c>
      <c r="Z168">
        <v>125</v>
      </c>
      <c r="AA168">
        <v>83</v>
      </c>
      <c r="AB168" s="25">
        <v>14.25</v>
      </c>
      <c r="AC168" s="25">
        <v>18.850000000000001</v>
      </c>
      <c r="AD168" s="25">
        <v>4.6000000000000014</v>
      </c>
      <c r="AE168" s="25">
        <f>Table3[[#This Row],[flies_out]]/Table3[[#This Row],[flies_in]]</f>
        <v>0.66400000000000003</v>
      </c>
    </row>
    <row r="169" spans="1:31" x14ac:dyDescent="0.35">
      <c r="A169">
        <v>10</v>
      </c>
      <c r="B169" t="s">
        <v>118</v>
      </c>
      <c r="C169">
        <v>1</v>
      </c>
      <c r="D169" s="2" t="s">
        <v>106</v>
      </c>
      <c r="E169" s="20" t="s">
        <v>3</v>
      </c>
      <c r="F169" s="20">
        <v>2</v>
      </c>
      <c r="G169" s="20" t="s">
        <v>113</v>
      </c>
      <c r="H169" s="11" t="s">
        <v>2</v>
      </c>
      <c r="I169">
        <v>6</v>
      </c>
      <c r="J169">
        <v>10</v>
      </c>
      <c r="K169">
        <v>8</v>
      </c>
      <c r="L169">
        <v>3</v>
      </c>
      <c r="M169">
        <v>2</v>
      </c>
      <c r="N169">
        <v>5</v>
      </c>
      <c r="O169">
        <v>16</v>
      </c>
      <c r="P169">
        <v>10</v>
      </c>
      <c r="Q169">
        <v>5</v>
      </c>
      <c r="R169">
        <v>8</v>
      </c>
      <c r="S169">
        <v>5</v>
      </c>
      <c r="T169">
        <v>3</v>
      </c>
      <c r="U169">
        <v>3</v>
      </c>
      <c r="V169">
        <v>5</v>
      </c>
      <c r="W169">
        <v>0</v>
      </c>
      <c r="X169">
        <v>1</v>
      </c>
      <c r="Y169" s="15">
        <v>7.0555555555555554</v>
      </c>
      <c r="Z169">
        <v>125</v>
      </c>
      <c r="AA169">
        <v>90</v>
      </c>
      <c r="AB169" s="25">
        <v>14.25</v>
      </c>
      <c r="AC169" s="25">
        <v>19</v>
      </c>
      <c r="AD169" s="25">
        <v>4.75</v>
      </c>
      <c r="AE169" s="25">
        <f>Table3[[#This Row],[flies_out]]/Table3[[#This Row],[flies_in]]</f>
        <v>0.72</v>
      </c>
    </row>
    <row r="170" spans="1:31" x14ac:dyDescent="0.35">
      <c r="A170">
        <v>10</v>
      </c>
      <c r="B170" t="s">
        <v>118</v>
      </c>
      <c r="C170">
        <v>1</v>
      </c>
      <c r="D170" s="2" t="s">
        <v>106</v>
      </c>
      <c r="E170" s="20" t="s">
        <v>3</v>
      </c>
      <c r="F170" s="20">
        <v>2</v>
      </c>
      <c r="G170" s="20" t="s">
        <v>1</v>
      </c>
      <c r="H170" s="11" t="s">
        <v>2</v>
      </c>
      <c r="I170">
        <v>7</v>
      </c>
      <c r="J170">
        <v>19</v>
      </c>
      <c r="K170">
        <v>11</v>
      </c>
      <c r="L170">
        <v>3</v>
      </c>
      <c r="M170">
        <v>4</v>
      </c>
      <c r="N170">
        <v>4</v>
      </c>
      <c r="O170">
        <v>0</v>
      </c>
      <c r="P170">
        <v>3</v>
      </c>
      <c r="Q170">
        <v>14</v>
      </c>
      <c r="R170">
        <v>1</v>
      </c>
      <c r="S170">
        <v>4</v>
      </c>
      <c r="T170">
        <v>0</v>
      </c>
      <c r="U170">
        <v>3</v>
      </c>
      <c r="V170">
        <v>0</v>
      </c>
      <c r="W170">
        <v>0</v>
      </c>
      <c r="X170">
        <v>5</v>
      </c>
      <c r="Y170" s="15">
        <v>5.8589743589743586</v>
      </c>
      <c r="Z170">
        <v>125</v>
      </c>
      <c r="AA170">
        <v>78</v>
      </c>
      <c r="AB170" s="25">
        <v>14.25</v>
      </c>
      <c r="AC170" s="25">
        <v>19.133333333333333</v>
      </c>
      <c r="AD170" s="25">
        <v>4.8833333333333329</v>
      </c>
      <c r="AE170" s="25">
        <f>Table3[[#This Row],[flies_out]]/Table3[[#This Row],[flies_in]]</f>
        <v>0.624</v>
      </c>
    </row>
    <row r="171" spans="1:31" x14ac:dyDescent="0.35">
      <c r="A171">
        <v>10</v>
      </c>
      <c r="B171" t="s">
        <v>118</v>
      </c>
      <c r="C171">
        <v>1</v>
      </c>
      <c r="D171" s="2" t="s">
        <v>106</v>
      </c>
      <c r="E171" s="20" t="s">
        <v>3</v>
      </c>
      <c r="F171" s="20">
        <v>2</v>
      </c>
      <c r="G171" s="20" t="s">
        <v>114</v>
      </c>
      <c r="H171" s="11" t="s">
        <v>0</v>
      </c>
      <c r="I171">
        <v>3</v>
      </c>
      <c r="J171">
        <v>0</v>
      </c>
      <c r="K171">
        <v>5</v>
      </c>
      <c r="L171">
        <v>7</v>
      </c>
      <c r="M171">
        <v>10</v>
      </c>
      <c r="N171">
        <v>12</v>
      </c>
      <c r="O171">
        <v>6</v>
      </c>
      <c r="P171">
        <v>18</v>
      </c>
      <c r="Q171">
        <v>12</v>
      </c>
      <c r="R171">
        <v>0</v>
      </c>
      <c r="S171">
        <v>5</v>
      </c>
      <c r="T171">
        <v>3</v>
      </c>
      <c r="U171">
        <v>2</v>
      </c>
      <c r="V171">
        <v>4</v>
      </c>
      <c r="W171">
        <v>0</v>
      </c>
      <c r="X171">
        <v>0</v>
      </c>
      <c r="Y171" s="15">
        <v>7.2988505747126435</v>
      </c>
      <c r="Z171">
        <v>125</v>
      </c>
      <c r="AA171">
        <v>87</v>
      </c>
      <c r="AB171" s="25">
        <v>14.25</v>
      </c>
      <c r="AC171" s="25">
        <v>19.283333333333335</v>
      </c>
      <c r="AD171" s="25">
        <v>5.033333333333335</v>
      </c>
      <c r="AE171" s="25">
        <f>Table3[[#This Row],[flies_out]]/Table3[[#This Row],[flies_in]]</f>
        <v>0.69599999999999995</v>
      </c>
    </row>
    <row r="172" spans="1:31" x14ac:dyDescent="0.35">
      <c r="A172">
        <v>10</v>
      </c>
      <c r="B172" t="s">
        <v>117</v>
      </c>
      <c r="C172">
        <v>2</v>
      </c>
      <c r="D172" s="2" t="s">
        <v>106</v>
      </c>
      <c r="E172" s="20" t="s">
        <v>3</v>
      </c>
      <c r="F172" s="20">
        <v>3</v>
      </c>
      <c r="G172" s="20" t="s">
        <v>112</v>
      </c>
      <c r="H172" s="11" t="s">
        <v>2</v>
      </c>
      <c r="I172">
        <v>10</v>
      </c>
      <c r="J172">
        <v>5</v>
      </c>
      <c r="K172">
        <v>17</v>
      </c>
      <c r="L172">
        <v>1</v>
      </c>
      <c r="M172">
        <v>3</v>
      </c>
      <c r="N172">
        <v>11</v>
      </c>
      <c r="O172">
        <v>9</v>
      </c>
      <c r="P172">
        <v>26</v>
      </c>
      <c r="Q172">
        <v>11</v>
      </c>
      <c r="R172">
        <v>1</v>
      </c>
      <c r="S172">
        <v>6</v>
      </c>
      <c r="T172">
        <v>3</v>
      </c>
      <c r="U172">
        <v>3</v>
      </c>
      <c r="V172">
        <v>1</v>
      </c>
      <c r="W172">
        <v>1</v>
      </c>
      <c r="X172">
        <v>2</v>
      </c>
      <c r="Y172" s="15">
        <v>6.709090909090909</v>
      </c>
      <c r="Z172">
        <v>150</v>
      </c>
      <c r="AA172">
        <v>110</v>
      </c>
      <c r="AB172" s="25">
        <v>9.85</v>
      </c>
      <c r="AC172" s="25">
        <v>13.266666666666667</v>
      </c>
      <c r="AD172" s="25">
        <v>3.4166666666666679</v>
      </c>
      <c r="AE172" s="25">
        <f>Table3[[#This Row],[flies_out]]/Table3[[#This Row],[flies_in]]</f>
        <v>0.73333333333333328</v>
      </c>
    </row>
    <row r="173" spans="1:31" x14ac:dyDescent="0.35">
      <c r="A173">
        <v>10</v>
      </c>
      <c r="B173" t="s">
        <v>117</v>
      </c>
      <c r="C173">
        <v>2</v>
      </c>
      <c r="D173" s="2" t="s">
        <v>106</v>
      </c>
      <c r="E173" s="20" t="s">
        <v>3</v>
      </c>
      <c r="F173" s="20">
        <v>3</v>
      </c>
      <c r="G173" s="20" t="s">
        <v>113</v>
      </c>
      <c r="H173" s="11" t="s">
        <v>0</v>
      </c>
      <c r="I173">
        <v>19</v>
      </c>
      <c r="J173">
        <v>8</v>
      </c>
      <c r="K173">
        <v>8</v>
      </c>
      <c r="L173">
        <v>5</v>
      </c>
      <c r="M173">
        <v>11</v>
      </c>
      <c r="N173">
        <v>8</v>
      </c>
      <c r="O173">
        <v>8</v>
      </c>
      <c r="P173">
        <v>13</v>
      </c>
      <c r="Q173">
        <v>1</v>
      </c>
      <c r="R173">
        <v>1</v>
      </c>
      <c r="S173">
        <v>4</v>
      </c>
      <c r="T173">
        <v>1</v>
      </c>
      <c r="U173">
        <v>2</v>
      </c>
      <c r="V173">
        <v>1</v>
      </c>
      <c r="W173">
        <v>3</v>
      </c>
      <c r="X173">
        <v>0</v>
      </c>
      <c r="Y173" s="15">
        <v>5.397849462365591</v>
      </c>
      <c r="Z173">
        <v>100</v>
      </c>
      <c r="AA173">
        <v>93</v>
      </c>
      <c r="AB173" s="25">
        <v>9.85</v>
      </c>
      <c r="AC173" s="25">
        <v>13.4</v>
      </c>
      <c r="AD173" s="25">
        <v>3.5500000000000007</v>
      </c>
      <c r="AE173" s="25">
        <f>Table3[[#This Row],[flies_out]]/Table3[[#This Row],[flies_in]]</f>
        <v>0.93</v>
      </c>
    </row>
    <row r="174" spans="1:31" x14ac:dyDescent="0.35">
      <c r="A174">
        <v>10</v>
      </c>
      <c r="B174" t="s">
        <v>117</v>
      </c>
      <c r="C174">
        <v>2</v>
      </c>
      <c r="D174" s="2" t="s">
        <v>106</v>
      </c>
      <c r="E174" s="20" t="s">
        <v>3</v>
      </c>
      <c r="F174" s="20">
        <v>3</v>
      </c>
      <c r="G174" s="20" t="s">
        <v>1</v>
      </c>
      <c r="H174" s="11" t="s">
        <v>0</v>
      </c>
      <c r="I174">
        <v>5</v>
      </c>
      <c r="J174">
        <v>3</v>
      </c>
      <c r="K174">
        <v>2</v>
      </c>
      <c r="L174">
        <v>0</v>
      </c>
      <c r="M174">
        <v>4</v>
      </c>
      <c r="N174">
        <v>3</v>
      </c>
      <c r="O174">
        <v>2</v>
      </c>
      <c r="P174">
        <v>2</v>
      </c>
      <c r="Q174">
        <v>4</v>
      </c>
      <c r="R174">
        <v>10</v>
      </c>
      <c r="S174">
        <v>7</v>
      </c>
      <c r="T174">
        <v>2</v>
      </c>
      <c r="U174">
        <v>7</v>
      </c>
      <c r="V174">
        <v>0</v>
      </c>
      <c r="W174">
        <v>0</v>
      </c>
      <c r="X174">
        <v>40</v>
      </c>
      <c r="Y174" s="15">
        <v>11.571428571428571</v>
      </c>
      <c r="Z174">
        <v>125</v>
      </c>
      <c r="AA174">
        <v>91</v>
      </c>
      <c r="AB174" s="25">
        <v>9.85</v>
      </c>
      <c r="AC174" s="25">
        <v>12.983333333333333</v>
      </c>
      <c r="AD174" s="25">
        <v>3.1333333333333329</v>
      </c>
      <c r="AE174" s="25">
        <f>Table3[[#This Row],[flies_out]]/Table3[[#This Row],[flies_in]]</f>
        <v>0.72799999999999998</v>
      </c>
    </row>
    <row r="175" spans="1:31" x14ac:dyDescent="0.35">
      <c r="A175">
        <v>10</v>
      </c>
      <c r="B175" t="s">
        <v>117</v>
      </c>
      <c r="C175">
        <v>2</v>
      </c>
      <c r="D175" s="2" t="s">
        <v>106</v>
      </c>
      <c r="E175" s="20" t="s">
        <v>3</v>
      </c>
      <c r="F175" s="20">
        <v>3</v>
      </c>
      <c r="G175" s="20" t="s">
        <v>114</v>
      </c>
      <c r="H175" s="11" t="s">
        <v>2</v>
      </c>
      <c r="I175">
        <v>4</v>
      </c>
      <c r="J175">
        <v>4</v>
      </c>
      <c r="K175">
        <v>7</v>
      </c>
      <c r="L175">
        <v>1</v>
      </c>
      <c r="M175">
        <v>9</v>
      </c>
      <c r="N175">
        <v>3</v>
      </c>
      <c r="O175">
        <v>11</v>
      </c>
      <c r="P175">
        <v>9</v>
      </c>
      <c r="Q175">
        <v>3</v>
      </c>
      <c r="R175">
        <v>3</v>
      </c>
      <c r="S175">
        <v>5</v>
      </c>
      <c r="T175">
        <v>1</v>
      </c>
      <c r="U175">
        <v>1</v>
      </c>
      <c r="V175">
        <v>0</v>
      </c>
      <c r="W175">
        <v>0</v>
      </c>
      <c r="X175">
        <v>0</v>
      </c>
      <c r="Y175" s="15">
        <v>6.3278688524590168</v>
      </c>
      <c r="Z175">
        <v>150</v>
      </c>
      <c r="AA175">
        <v>61</v>
      </c>
      <c r="AB175" s="25">
        <v>9.85</v>
      </c>
      <c r="AC175" s="25">
        <v>13.133333333333335</v>
      </c>
      <c r="AD175" s="25">
        <v>3.283333333333335</v>
      </c>
      <c r="AE175" s="25">
        <f>Table3[[#This Row],[flies_out]]/Table3[[#This Row],[flies_in]]</f>
        <v>0.40666666666666668</v>
      </c>
    </row>
    <row r="176" spans="1:31" x14ac:dyDescent="0.35">
      <c r="A176">
        <v>10</v>
      </c>
      <c r="B176" t="s">
        <v>118</v>
      </c>
      <c r="C176">
        <v>2</v>
      </c>
      <c r="D176" s="2" t="s">
        <v>104</v>
      </c>
      <c r="E176" s="20" t="s">
        <v>3</v>
      </c>
      <c r="F176" s="20">
        <v>4</v>
      </c>
      <c r="G176" s="20" t="s">
        <v>112</v>
      </c>
      <c r="H176" s="11" t="s">
        <v>0</v>
      </c>
      <c r="I176">
        <v>0</v>
      </c>
      <c r="J176">
        <v>0</v>
      </c>
      <c r="K176">
        <v>1</v>
      </c>
      <c r="L176">
        <v>2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2</v>
      </c>
      <c r="T176">
        <v>0</v>
      </c>
      <c r="U176">
        <v>1</v>
      </c>
      <c r="V176">
        <v>0</v>
      </c>
      <c r="W176">
        <v>0</v>
      </c>
      <c r="X176">
        <v>0</v>
      </c>
      <c r="Y176" s="15">
        <v>7.8571428571428568</v>
      </c>
      <c r="Z176">
        <v>125</v>
      </c>
      <c r="AA176">
        <v>7</v>
      </c>
      <c r="AB176" s="25">
        <v>15.083333333333332</v>
      </c>
      <c r="AC176" s="25">
        <v>19.75</v>
      </c>
      <c r="AD176" s="25">
        <v>4.6666666666666679</v>
      </c>
      <c r="AE176" s="25">
        <f>Table3[[#This Row],[flies_out]]/Table3[[#This Row],[flies_in]]</f>
        <v>5.6000000000000001E-2</v>
      </c>
    </row>
    <row r="177" spans="1:31" x14ac:dyDescent="0.35">
      <c r="A177">
        <v>10</v>
      </c>
      <c r="B177" t="s">
        <v>118</v>
      </c>
      <c r="C177">
        <v>2</v>
      </c>
      <c r="D177" s="2" t="s">
        <v>104</v>
      </c>
      <c r="E177" s="20" t="s">
        <v>3</v>
      </c>
      <c r="F177" s="20">
        <v>4</v>
      </c>
      <c r="G177" s="20" t="s">
        <v>113</v>
      </c>
      <c r="H177" s="11" t="s">
        <v>2</v>
      </c>
      <c r="I177">
        <v>6</v>
      </c>
      <c r="J177">
        <v>9</v>
      </c>
      <c r="K177">
        <v>4</v>
      </c>
      <c r="L177">
        <v>8</v>
      </c>
      <c r="M177">
        <v>9</v>
      </c>
      <c r="N177">
        <v>12</v>
      </c>
      <c r="O177">
        <v>6</v>
      </c>
      <c r="P177">
        <v>8</v>
      </c>
      <c r="Q177">
        <v>8</v>
      </c>
      <c r="R177">
        <v>3</v>
      </c>
      <c r="S177">
        <v>4</v>
      </c>
      <c r="T177">
        <v>2</v>
      </c>
      <c r="U177">
        <v>1</v>
      </c>
      <c r="V177">
        <v>1</v>
      </c>
      <c r="W177">
        <v>0</v>
      </c>
      <c r="X177">
        <v>0</v>
      </c>
      <c r="Y177" s="15">
        <v>6.0246913580246915</v>
      </c>
      <c r="Z177">
        <v>125</v>
      </c>
      <c r="AA177">
        <v>81</v>
      </c>
      <c r="AB177" s="25">
        <v>15.083333333333332</v>
      </c>
      <c r="AC177" s="25">
        <v>19.833333333333332</v>
      </c>
      <c r="AD177" s="25">
        <v>4.75</v>
      </c>
      <c r="AE177" s="25">
        <f>Table3[[#This Row],[flies_out]]/Table3[[#This Row],[flies_in]]</f>
        <v>0.64800000000000002</v>
      </c>
    </row>
    <row r="178" spans="1:31" x14ac:dyDescent="0.35">
      <c r="A178">
        <v>10</v>
      </c>
      <c r="B178" t="s">
        <v>118</v>
      </c>
      <c r="C178">
        <v>2</v>
      </c>
      <c r="D178" s="2" t="s">
        <v>104</v>
      </c>
      <c r="E178" s="20" t="s">
        <v>3</v>
      </c>
      <c r="F178" s="20">
        <v>4</v>
      </c>
      <c r="G178" s="20" t="s">
        <v>1</v>
      </c>
      <c r="H178" s="11" t="s">
        <v>2</v>
      </c>
      <c r="I178">
        <v>16</v>
      </c>
      <c r="J178">
        <v>14</v>
      </c>
      <c r="K178">
        <v>17</v>
      </c>
      <c r="L178">
        <v>12</v>
      </c>
      <c r="M178">
        <v>3</v>
      </c>
      <c r="N178">
        <v>4</v>
      </c>
      <c r="O178">
        <v>4</v>
      </c>
      <c r="P178">
        <v>7</v>
      </c>
      <c r="Q178">
        <v>19</v>
      </c>
      <c r="R178">
        <v>4</v>
      </c>
      <c r="S178">
        <v>3</v>
      </c>
      <c r="T178">
        <v>0</v>
      </c>
      <c r="U178">
        <v>4</v>
      </c>
      <c r="V178">
        <v>3</v>
      </c>
      <c r="W178">
        <v>2</v>
      </c>
      <c r="X178">
        <v>1</v>
      </c>
      <c r="Y178" s="15">
        <v>5.7522123893805306</v>
      </c>
      <c r="Z178">
        <v>150</v>
      </c>
      <c r="AA178">
        <v>113</v>
      </c>
      <c r="AB178" s="25">
        <v>15.083333333333329</v>
      </c>
      <c r="AC178" s="25">
        <v>19.966666666666669</v>
      </c>
      <c r="AD178" s="25">
        <v>4.88333333333334</v>
      </c>
      <c r="AE178" s="25">
        <f>Table3[[#This Row],[flies_out]]/Table3[[#This Row],[flies_in]]</f>
        <v>0.7533333333333333</v>
      </c>
    </row>
    <row r="179" spans="1:31" x14ac:dyDescent="0.35">
      <c r="A179">
        <v>10</v>
      </c>
      <c r="B179" t="s">
        <v>118</v>
      </c>
      <c r="C179">
        <v>2</v>
      </c>
      <c r="D179" s="2" t="s">
        <v>104</v>
      </c>
      <c r="E179" s="20" t="s">
        <v>3</v>
      </c>
      <c r="F179" s="20">
        <v>4</v>
      </c>
      <c r="G179" s="20" t="s">
        <v>114</v>
      </c>
      <c r="H179" s="11" t="s">
        <v>0</v>
      </c>
      <c r="I179">
        <v>15</v>
      </c>
      <c r="J179">
        <v>25</v>
      </c>
      <c r="K179">
        <v>22</v>
      </c>
      <c r="L179">
        <v>21</v>
      </c>
      <c r="M179">
        <v>17</v>
      </c>
      <c r="N179">
        <v>13</v>
      </c>
      <c r="O179">
        <v>3</v>
      </c>
      <c r="P179">
        <v>7</v>
      </c>
      <c r="Q179">
        <v>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s="15">
        <v>3.7839999999999998</v>
      </c>
      <c r="Z179">
        <v>150</v>
      </c>
      <c r="AA179">
        <v>125</v>
      </c>
      <c r="AB179" s="25">
        <v>15.083333333333329</v>
      </c>
      <c r="AC179" s="25">
        <v>20.116666666666667</v>
      </c>
      <c r="AD179" s="25">
        <v>5.0333333333333385</v>
      </c>
      <c r="AE179" s="25">
        <f>Table3[[#This Row],[flies_out]]/Table3[[#This Row],[flies_in]]</f>
        <v>0.83333333333333337</v>
      </c>
    </row>
    <row r="180" spans="1:31" x14ac:dyDescent="0.35">
      <c r="A180">
        <v>10</v>
      </c>
      <c r="B180" t="s">
        <v>117</v>
      </c>
      <c r="C180">
        <v>3</v>
      </c>
      <c r="D180" s="2" t="s">
        <v>104</v>
      </c>
      <c r="E180" t="s">
        <v>1</v>
      </c>
      <c r="F180">
        <v>1</v>
      </c>
      <c r="G180" s="20" t="s">
        <v>113</v>
      </c>
      <c r="H180" s="21" t="s">
        <v>2</v>
      </c>
      <c r="I180">
        <v>5</v>
      </c>
      <c r="J180">
        <v>3</v>
      </c>
      <c r="K180">
        <v>3</v>
      </c>
      <c r="L180">
        <v>2</v>
      </c>
      <c r="M180">
        <v>4</v>
      </c>
      <c r="N180">
        <v>9</v>
      </c>
      <c r="O180">
        <v>12</v>
      </c>
      <c r="P180">
        <v>7</v>
      </c>
      <c r="Q180">
        <v>11</v>
      </c>
      <c r="R180">
        <v>4</v>
      </c>
      <c r="S180">
        <v>10</v>
      </c>
      <c r="T180">
        <v>3</v>
      </c>
      <c r="U180">
        <v>1</v>
      </c>
      <c r="V180">
        <v>0</v>
      </c>
      <c r="W180">
        <v>1</v>
      </c>
      <c r="X180">
        <v>0</v>
      </c>
      <c r="Y180" s="15">
        <v>7.4</v>
      </c>
      <c r="Z180">
        <v>125</v>
      </c>
      <c r="AA180">
        <v>75</v>
      </c>
      <c r="AB180" s="25">
        <v>10.166666666666666</v>
      </c>
      <c r="AC180" s="25">
        <v>12.566666666666666</v>
      </c>
      <c r="AD180" s="25">
        <v>2.4000000000000004</v>
      </c>
      <c r="AE180" s="25">
        <f>Table3[[#This Row],[flies_out]]/Table3[[#This Row],[flies_in]]</f>
        <v>0.6</v>
      </c>
    </row>
    <row r="181" spans="1:31" x14ac:dyDescent="0.35">
      <c r="A181">
        <v>10</v>
      </c>
      <c r="B181" t="s">
        <v>117</v>
      </c>
      <c r="C181">
        <v>3</v>
      </c>
      <c r="D181" s="2" t="s">
        <v>104</v>
      </c>
      <c r="E181" t="s">
        <v>1</v>
      </c>
      <c r="F181">
        <v>1</v>
      </c>
      <c r="G181" s="20" t="s">
        <v>1</v>
      </c>
      <c r="H181" s="21" t="s">
        <v>2</v>
      </c>
      <c r="I181">
        <v>0</v>
      </c>
      <c r="J181">
        <v>3</v>
      </c>
      <c r="K181">
        <v>6</v>
      </c>
      <c r="L181">
        <v>2</v>
      </c>
      <c r="M181">
        <v>2</v>
      </c>
      <c r="N181">
        <v>9</v>
      </c>
      <c r="O181">
        <v>2</v>
      </c>
      <c r="P181">
        <v>12</v>
      </c>
      <c r="Q181">
        <v>10</v>
      </c>
      <c r="R181">
        <v>9</v>
      </c>
      <c r="S181">
        <v>15</v>
      </c>
      <c r="T181">
        <v>7</v>
      </c>
      <c r="U181">
        <v>2</v>
      </c>
      <c r="V181">
        <v>3</v>
      </c>
      <c r="W181">
        <v>4</v>
      </c>
      <c r="X181">
        <v>4</v>
      </c>
      <c r="Y181" s="15">
        <v>9.1888888888888882</v>
      </c>
      <c r="Z181">
        <v>125</v>
      </c>
      <c r="AA181">
        <v>90</v>
      </c>
      <c r="AB181" s="25">
        <v>10.166666666666666</v>
      </c>
      <c r="AC181" s="25">
        <v>12.8</v>
      </c>
      <c r="AD181" s="25">
        <v>2.6333333333333346</v>
      </c>
      <c r="AE181" s="25">
        <f>Table3[[#This Row],[flies_out]]/Table3[[#This Row],[flies_in]]</f>
        <v>0.72</v>
      </c>
    </row>
    <row r="182" spans="1:31" x14ac:dyDescent="0.35">
      <c r="A182">
        <v>10</v>
      </c>
      <c r="B182" t="s">
        <v>117</v>
      </c>
      <c r="C182">
        <v>3</v>
      </c>
      <c r="D182" s="2" t="s">
        <v>104</v>
      </c>
      <c r="E182" t="s">
        <v>1</v>
      </c>
      <c r="F182">
        <v>1</v>
      </c>
      <c r="G182" s="20" t="s">
        <v>114</v>
      </c>
      <c r="H182" s="21" t="s">
        <v>0</v>
      </c>
      <c r="I182">
        <v>1</v>
      </c>
      <c r="J182">
        <v>2</v>
      </c>
      <c r="K182">
        <v>3</v>
      </c>
      <c r="L182">
        <v>3</v>
      </c>
      <c r="M182">
        <v>3</v>
      </c>
      <c r="N182">
        <v>2</v>
      </c>
      <c r="O182">
        <v>6</v>
      </c>
      <c r="P182">
        <v>11</v>
      </c>
      <c r="Q182">
        <v>5</v>
      </c>
      <c r="R182">
        <v>0</v>
      </c>
      <c r="S182">
        <v>12</v>
      </c>
      <c r="T182">
        <v>5</v>
      </c>
      <c r="U182">
        <v>2</v>
      </c>
      <c r="V182">
        <v>7</v>
      </c>
      <c r="W182">
        <v>1</v>
      </c>
      <c r="X182">
        <v>0</v>
      </c>
      <c r="Y182" s="15">
        <v>8.8730158730158735</v>
      </c>
      <c r="Z182">
        <v>125</v>
      </c>
      <c r="AA182">
        <v>63</v>
      </c>
      <c r="AB182" s="25">
        <v>10.166666666666666</v>
      </c>
      <c r="AC182" s="25">
        <v>12.95</v>
      </c>
      <c r="AD182" s="25">
        <v>2.7833333333333332</v>
      </c>
      <c r="AE182" s="25">
        <f>Table3[[#This Row],[flies_out]]/Table3[[#This Row],[flies_in]]</f>
        <v>0.504</v>
      </c>
    </row>
    <row r="183" spans="1:31" x14ac:dyDescent="0.35">
      <c r="A183">
        <v>10</v>
      </c>
      <c r="B183" t="s">
        <v>117</v>
      </c>
      <c r="C183">
        <v>3</v>
      </c>
      <c r="D183" s="2" t="s">
        <v>104</v>
      </c>
      <c r="E183" t="s">
        <v>1</v>
      </c>
      <c r="F183">
        <v>2</v>
      </c>
      <c r="G183" s="20" t="s">
        <v>112</v>
      </c>
      <c r="H183" s="21" t="s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1</v>
      </c>
      <c r="O183">
        <v>1</v>
      </c>
      <c r="P183">
        <v>0</v>
      </c>
      <c r="Q183">
        <v>0</v>
      </c>
      <c r="R183">
        <v>4</v>
      </c>
      <c r="S183">
        <v>2</v>
      </c>
      <c r="T183">
        <v>2</v>
      </c>
      <c r="U183">
        <v>2</v>
      </c>
      <c r="V183">
        <v>0</v>
      </c>
      <c r="W183">
        <v>3</v>
      </c>
      <c r="X183">
        <v>1</v>
      </c>
      <c r="Y183" s="15">
        <v>11.117647058823529</v>
      </c>
      <c r="Z183">
        <v>100</v>
      </c>
      <c r="AA183">
        <v>17</v>
      </c>
      <c r="AB183" s="25">
        <v>13.916666666666668</v>
      </c>
      <c r="AC183" s="25">
        <v>17.433333333333334</v>
      </c>
      <c r="AD183" s="25">
        <v>3.5166666666666657</v>
      </c>
      <c r="AE183" s="25">
        <f>Table3[[#This Row],[flies_out]]/Table3[[#This Row],[flies_in]]</f>
        <v>0.17</v>
      </c>
    </row>
    <row r="184" spans="1:31" x14ac:dyDescent="0.35">
      <c r="A184">
        <v>10</v>
      </c>
      <c r="B184" t="s">
        <v>118</v>
      </c>
      <c r="C184">
        <v>3</v>
      </c>
      <c r="D184" s="2" t="s">
        <v>104</v>
      </c>
      <c r="E184" t="s">
        <v>1</v>
      </c>
      <c r="F184">
        <v>2</v>
      </c>
      <c r="G184" s="20" t="s">
        <v>113</v>
      </c>
      <c r="H184" s="21" t="s">
        <v>2</v>
      </c>
      <c r="I184">
        <v>3</v>
      </c>
      <c r="J184">
        <v>2</v>
      </c>
      <c r="K184">
        <v>3</v>
      </c>
      <c r="L184">
        <v>1</v>
      </c>
      <c r="M184">
        <v>1</v>
      </c>
      <c r="N184">
        <v>3</v>
      </c>
      <c r="O184">
        <v>6</v>
      </c>
      <c r="P184">
        <v>10</v>
      </c>
      <c r="Q184">
        <v>7</v>
      </c>
      <c r="R184">
        <v>11</v>
      </c>
      <c r="S184">
        <v>4</v>
      </c>
      <c r="T184">
        <v>5</v>
      </c>
      <c r="U184">
        <v>0</v>
      </c>
      <c r="V184">
        <v>1</v>
      </c>
      <c r="W184">
        <v>1</v>
      </c>
      <c r="X184">
        <v>1</v>
      </c>
      <c r="Y184" s="15">
        <v>8.2542372881355934</v>
      </c>
      <c r="Z184">
        <v>150</v>
      </c>
      <c r="AA184">
        <v>59</v>
      </c>
      <c r="AB184" s="25">
        <v>13.916666666666668</v>
      </c>
      <c r="AC184" s="25">
        <v>17.566666666666666</v>
      </c>
      <c r="AD184" s="25">
        <v>3.6499999999999986</v>
      </c>
      <c r="AE184" s="25">
        <f>Table3[[#This Row],[flies_out]]/Table3[[#This Row],[flies_in]]</f>
        <v>0.39333333333333331</v>
      </c>
    </row>
    <row r="185" spans="1:31" x14ac:dyDescent="0.35">
      <c r="A185">
        <v>10</v>
      </c>
      <c r="B185" t="s">
        <v>118</v>
      </c>
      <c r="C185">
        <v>3</v>
      </c>
      <c r="D185" s="2" t="s">
        <v>104</v>
      </c>
      <c r="E185" t="s">
        <v>1</v>
      </c>
      <c r="F185">
        <v>2</v>
      </c>
      <c r="G185" s="20" t="s">
        <v>1</v>
      </c>
      <c r="H185" s="21" t="s">
        <v>2</v>
      </c>
      <c r="I185">
        <v>10</v>
      </c>
      <c r="J185">
        <v>5</v>
      </c>
      <c r="K185">
        <v>16</v>
      </c>
      <c r="L185">
        <v>2</v>
      </c>
      <c r="M185">
        <v>3</v>
      </c>
      <c r="N185">
        <v>11</v>
      </c>
      <c r="O185">
        <v>2</v>
      </c>
      <c r="P185">
        <v>5</v>
      </c>
      <c r="Q185">
        <v>10</v>
      </c>
      <c r="R185">
        <v>1</v>
      </c>
      <c r="S185">
        <v>5</v>
      </c>
      <c r="T185">
        <v>2</v>
      </c>
      <c r="U185">
        <v>5</v>
      </c>
      <c r="V185">
        <v>3</v>
      </c>
      <c r="W185">
        <v>1</v>
      </c>
      <c r="X185">
        <v>1</v>
      </c>
      <c r="Y185" s="15">
        <v>6.4390243902439028</v>
      </c>
      <c r="Z185">
        <v>125</v>
      </c>
      <c r="AA185">
        <v>82</v>
      </c>
      <c r="AB185" s="25">
        <v>13.916666666666668</v>
      </c>
      <c r="AC185" s="25">
        <v>17.666666666666668</v>
      </c>
      <c r="AD185" s="25">
        <v>3.75</v>
      </c>
      <c r="AE185" s="25">
        <f>Table3[[#This Row],[flies_out]]/Table3[[#This Row],[flies_in]]</f>
        <v>0.65600000000000003</v>
      </c>
    </row>
    <row r="186" spans="1:31" x14ac:dyDescent="0.35">
      <c r="A186">
        <v>10</v>
      </c>
      <c r="B186" t="s">
        <v>118</v>
      </c>
      <c r="C186">
        <v>3</v>
      </c>
      <c r="D186" s="2" t="s">
        <v>104</v>
      </c>
      <c r="E186" t="s">
        <v>1</v>
      </c>
      <c r="F186">
        <v>2</v>
      </c>
      <c r="G186" s="20" t="s">
        <v>114</v>
      </c>
      <c r="H186" s="21" t="s">
        <v>0</v>
      </c>
      <c r="I186">
        <v>0</v>
      </c>
      <c r="J186">
        <v>2</v>
      </c>
      <c r="K186">
        <v>1</v>
      </c>
      <c r="L186">
        <v>2</v>
      </c>
      <c r="M186">
        <v>9</v>
      </c>
      <c r="N186">
        <v>12</v>
      </c>
      <c r="O186">
        <v>4</v>
      </c>
      <c r="P186">
        <v>10</v>
      </c>
      <c r="Q186">
        <v>4</v>
      </c>
      <c r="R186">
        <v>0</v>
      </c>
      <c r="S186">
        <v>7</v>
      </c>
      <c r="T186">
        <v>1</v>
      </c>
      <c r="U186">
        <v>8</v>
      </c>
      <c r="V186">
        <v>2</v>
      </c>
      <c r="W186">
        <v>0</v>
      </c>
      <c r="X186">
        <v>0</v>
      </c>
      <c r="Y186" s="15">
        <v>8.0161290322580641</v>
      </c>
      <c r="Z186">
        <v>100</v>
      </c>
      <c r="AA186">
        <v>62</v>
      </c>
      <c r="AB186" s="25">
        <v>13.916666666666668</v>
      </c>
      <c r="AC186" s="25">
        <v>18.816666666666666</v>
      </c>
      <c r="AD186" s="25">
        <v>4.8999999999999986</v>
      </c>
      <c r="AE186" s="25">
        <f>Table3[[#This Row],[flies_out]]/Table3[[#This Row],[flies_in]]</f>
        <v>0.62</v>
      </c>
    </row>
    <row r="187" spans="1:31" s="16" customFormat="1" x14ac:dyDescent="0.35">
      <c r="A187">
        <v>10</v>
      </c>
      <c r="B187" t="s">
        <v>118</v>
      </c>
      <c r="C187">
        <v>3</v>
      </c>
      <c r="D187" s="17" t="s">
        <v>104</v>
      </c>
      <c r="E187" s="16" t="s">
        <v>1</v>
      </c>
      <c r="F187" s="16">
        <v>3</v>
      </c>
      <c r="G187" s="16" t="s">
        <v>112</v>
      </c>
      <c r="H187" s="18" t="s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3</v>
      </c>
      <c r="N187" s="16">
        <v>4</v>
      </c>
      <c r="O187" s="16">
        <v>10</v>
      </c>
      <c r="P187" s="16">
        <v>11</v>
      </c>
      <c r="Q187" s="16">
        <v>4</v>
      </c>
      <c r="R187" s="16">
        <v>37</v>
      </c>
      <c r="S187" s="16">
        <v>8</v>
      </c>
      <c r="T187" s="16">
        <v>8</v>
      </c>
      <c r="U187" s="16">
        <v>6</v>
      </c>
      <c r="V187" s="16">
        <v>1</v>
      </c>
      <c r="W187" s="16">
        <v>18</v>
      </c>
      <c r="X187" s="16">
        <v>1</v>
      </c>
      <c r="Y187" s="19">
        <v>10.495495495495495</v>
      </c>
      <c r="Z187" s="16">
        <v>125</v>
      </c>
      <c r="AA187" s="16">
        <v>111</v>
      </c>
      <c r="AB187" s="26">
        <v>18.166666666666664</v>
      </c>
      <c r="AC187" s="26">
        <v>20.783333333333335</v>
      </c>
      <c r="AD187" s="26">
        <v>2.6166666666666707</v>
      </c>
      <c r="AE187" s="25">
        <f>Table3[[#This Row],[flies_out]]/Table3[[#This Row],[flies_in]]</f>
        <v>0.88800000000000001</v>
      </c>
    </row>
    <row r="188" spans="1:31" s="16" customFormat="1" x14ac:dyDescent="0.35">
      <c r="A188">
        <v>10</v>
      </c>
      <c r="B188" t="s">
        <v>118</v>
      </c>
      <c r="C188">
        <v>3</v>
      </c>
      <c r="D188" s="17" t="s">
        <v>104</v>
      </c>
      <c r="E188" s="16" t="s">
        <v>1</v>
      </c>
      <c r="F188" s="16">
        <v>3</v>
      </c>
      <c r="G188" s="16" t="s">
        <v>113</v>
      </c>
      <c r="H188" s="18" t="s">
        <v>2</v>
      </c>
      <c r="I188" s="16">
        <v>4</v>
      </c>
      <c r="J188" s="16">
        <v>1</v>
      </c>
      <c r="K188" s="16">
        <v>8</v>
      </c>
      <c r="L188" s="16">
        <v>4</v>
      </c>
      <c r="M188" s="16">
        <v>1</v>
      </c>
      <c r="N188" s="16">
        <v>0</v>
      </c>
      <c r="O188" s="16">
        <v>5</v>
      </c>
      <c r="P188" s="16">
        <v>0</v>
      </c>
      <c r="Q188" s="16">
        <v>0</v>
      </c>
      <c r="R188" s="16">
        <v>9</v>
      </c>
      <c r="S188" s="16">
        <v>8</v>
      </c>
      <c r="T188" s="16">
        <v>4</v>
      </c>
      <c r="U188" s="16">
        <v>1</v>
      </c>
      <c r="V188" s="16">
        <v>1</v>
      </c>
      <c r="W188" s="16">
        <v>1</v>
      </c>
      <c r="X188" s="16">
        <v>2</v>
      </c>
      <c r="Y188" s="19">
        <v>7.8775510204081636</v>
      </c>
      <c r="Z188" s="16">
        <v>150</v>
      </c>
      <c r="AA188" s="16">
        <v>49</v>
      </c>
      <c r="AB188" s="26">
        <v>18.166666666666664</v>
      </c>
      <c r="AC188" s="26">
        <v>21.016666666666666</v>
      </c>
      <c r="AD188" s="26">
        <v>2.8500000000000014</v>
      </c>
      <c r="AE188" s="25">
        <f>Table3[[#This Row],[flies_out]]/Table3[[#This Row],[flies_in]]</f>
        <v>0.32666666666666666</v>
      </c>
    </row>
    <row r="189" spans="1:31" s="16" customFormat="1" x14ac:dyDescent="0.35">
      <c r="A189">
        <v>10</v>
      </c>
      <c r="B189" t="s">
        <v>118</v>
      </c>
      <c r="C189">
        <v>3</v>
      </c>
      <c r="D189" s="17" t="s">
        <v>104</v>
      </c>
      <c r="E189" s="16" t="s">
        <v>1</v>
      </c>
      <c r="F189" s="16">
        <v>4</v>
      </c>
      <c r="G189" s="16" t="s">
        <v>1</v>
      </c>
      <c r="H189" s="18" t="s">
        <v>2</v>
      </c>
      <c r="I189" s="16">
        <v>1</v>
      </c>
      <c r="J189" s="16">
        <v>0</v>
      </c>
      <c r="K189" s="16">
        <v>2</v>
      </c>
      <c r="L189" s="16">
        <v>1</v>
      </c>
      <c r="M189" s="16">
        <v>6</v>
      </c>
      <c r="N189" s="16">
        <v>6</v>
      </c>
      <c r="O189" s="16">
        <v>3</v>
      </c>
      <c r="P189" s="16">
        <v>15</v>
      </c>
      <c r="Q189" s="16">
        <v>13</v>
      </c>
      <c r="R189" s="16">
        <v>3</v>
      </c>
      <c r="S189" s="16">
        <v>34</v>
      </c>
      <c r="T189" s="16">
        <v>14</v>
      </c>
      <c r="U189" s="16">
        <v>10</v>
      </c>
      <c r="V189" s="16">
        <v>18</v>
      </c>
      <c r="W189" s="16">
        <v>13</v>
      </c>
      <c r="X189" s="16">
        <v>11</v>
      </c>
      <c r="Y189" s="19">
        <v>11.066666666666666</v>
      </c>
      <c r="Z189" s="16">
        <v>150</v>
      </c>
      <c r="AA189" s="16">
        <v>150</v>
      </c>
      <c r="AB189" s="26">
        <v>18.166666666666664</v>
      </c>
      <c r="AC189" s="26">
        <v>21.183333333333334</v>
      </c>
      <c r="AD189" s="26">
        <v>3.0166666666666693</v>
      </c>
      <c r="AE189" s="25">
        <f>Table3[[#This Row],[flies_out]]/Table3[[#This Row],[flies_in]]</f>
        <v>1</v>
      </c>
    </row>
    <row r="190" spans="1:31" s="16" customFormat="1" x14ac:dyDescent="0.35">
      <c r="A190">
        <v>10</v>
      </c>
      <c r="B190" t="s">
        <v>118</v>
      </c>
      <c r="C190">
        <v>3</v>
      </c>
      <c r="D190" s="17" t="s">
        <v>104</v>
      </c>
      <c r="E190" s="16" t="s">
        <v>1</v>
      </c>
      <c r="F190" s="16">
        <v>4</v>
      </c>
      <c r="G190" s="16" t="s">
        <v>114</v>
      </c>
      <c r="H190" s="18" t="s">
        <v>0</v>
      </c>
      <c r="I190" s="16">
        <v>0</v>
      </c>
      <c r="J190" s="16">
        <v>1</v>
      </c>
      <c r="K190" s="16">
        <v>3</v>
      </c>
      <c r="L190" s="16">
        <v>3</v>
      </c>
      <c r="M190" s="16">
        <v>2</v>
      </c>
      <c r="N190" s="16">
        <v>5</v>
      </c>
      <c r="O190" s="16">
        <v>0</v>
      </c>
      <c r="P190" s="16">
        <v>4</v>
      </c>
      <c r="Q190" s="16">
        <v>10</v>
      </c>
      <c r="R190" s="16">
        <v>9</v>
      </c>
      <c r="S190" s="16">
        <v>12</v>
      </c>
      <c r="T190" s="16">
        <v>6</v>
      </c>
      <c r="U190" s="16">
        <v>6</v>
      </c>
      <c r="V190" s="16">
        <v>2</v>
      </c>
      <c r="W190" s="16">
        <v>4</v>
      </c>
      <c r="X190" s="16">
        <v>0</v>
      </c>
      <c r="Y190" s="19">
        <v>9.6268656716417915</v>
      </c>
      <c r="Z190" s="16">
        <v>100</v>
      </c>
      <c r="AA190" s="16">
        <v>67</v>
      </c>
      <c r="AB190" s="26">
        <v>18.166666666666664</v>
      </c>
      <c r="AC190" s="26">
        <v>21.349999999999998</v>
      </c>
      <c r="AD190" s="26">
        <v>3.1833333333333336</v>
      </c>
      <c r="AE190" s="25">
        <f>Table3[[#This Row],[flies_out]]/Table3[[#This Row],[flies_in]]</f>
        <v>0.67</v>
      </c>
    </row>
    <row r="191" spans="1:31" s="16" customFormat="1" x14ac:dyDescent="0.35">
      <c r="A191" s="16">
        <v>11</v>
      </c>
      <c r="B191" s="16" t="s">
        <v>117</v>
      </c>
      <c r="C191" s="16">
        <v>1</v>
      </c>
      <c r="D191" s="17" t="s">
        <v>104</v>
      </c>
      <c r="E191" s="16" t="s">
        <v>3</v>
      </c>
      <c r="F191" s="16">
        <v>1</v>
      </c>
      <c r="G191" s="16" t="s">
        <v>112</v>
      </c>
      <c r="H191" s="18" t="s">
        <v>2</v>
      </c>
      <c r="I191" s="16">
        <v>2</v>
      </c>
      <c r="J191" s="16">
        <v>4</v>
      </c>
      <c r="K191" s="16">
        <v>3</v>
      </c>
      <c r="L191" s="16">
        <v>1</v>
      </c>
      <c r="M191" s="16">
        <v>3</v>
      </c>
      <c r="N191" s="16">
        <v>1</v>
      </c>
      <c r="O191" s="16">
        <v>2</v>
      </c>
      <c r="P191" s="16">
        <v>0</v>
      </c>
      <c r="Q191" s="16">
        <v>3</v>
      </c>
      <c r="R191" s="16">
        <v>6</v>
      </c>
      <c r="S191" s="16">
        <v>11</v>
      </c>
      <c r="T191" s="16">
        <v>5</v>
      </c>
      <c r="U191" s="16">
        <v>6</v>
      </c>
      <c r="V191" s="16">
        <v>7</v>
      </c>
      <c r="W191" s="16">
        <v>14</v>
      </c>
      <c r="X191" s="16">
        <v>26</v>
      </c>
      <c r="Y191" s="19">
        <v>12</v>
      </c>
      <c r="Z191" s="16">
        <v>150</v>
      </c>
      <c r="AA191" s="16">
        <v>94</v>
      </c>
      <c r="AB191" s="26">
        <v>9.5499999999999989</v>
      </c>
      <c r="AC191" s="26">
        <v>12.583333333333334</v>
      </c>
      <c r="AD191" s="26">
        <v>3.033333333333335</v>
      </c>
      <c r="AE191" s="25">
        <f>Table3[[#This Row],[flies_out]]/Table3[[#This Row],[flies_in]]</f>
        <v>0.62666666666666671</v>
      </c>
    </row>
    <row r="192" spans="1:31" s="16" customFormat="1" x14ac:dyDescent="0.35">
      <c r="A192" s="16">
        <v>11</v>
      </c>
      <c r="B192" s="16" t="s">
        <v>117</v>
      </c>
      <c r="C192" s="16">
        <v>1</v>
      </c>
      <c r="D192" s="17" t="s">
        <v>104</v>
      </c>
      <c r="E192" s="16" t="s">
        <v>3</v>
      </c>
      <c r="F192" s="16">
        <v>1</v>
      </c>
      <c r="G192" s="16" t="s">
        <v>113</v>
      </c>
      <c r="H192" s="18" t="s">
        <v>0</v>
      </c>
      <c r="I192" s="16">
        <v>3</v>
      </c>
      <c r="J192" s="16">
        <v>0</v>
      </c>
      <c r="K192" s="16">
        <v>1</v>
      </c>
      <c r="L192" s="16">
        <v>1</v>
      </c>
      <c r="M192" s="16">
        <v>1</v>
      </c>
      <c r="N192" s="16">
        <v>7</v>
      </c>
      <c r="O192" s="16">
        <v>10</v>
      </c>
      <c r="P192" s="16">
        <v>13</v>
      </c>
      <c r="Q192" s="16">
        <v>9</v>
      </c>
      <c r="R192" s="16">
        <v>7</v>
      </c>
      <c r="S192" s="16">
        <v>4</v>
      </c>
      <c r="T192" s="16">
        <v>8</v>
      </c>
      <c r="U192" s="16">
        <v>4</v>
      </c>
      <c r="V192" s="16">
        <v>2</v>
      </c>
      <c r="W192" s="16">
        <v>0</v>
      </c>
      <c r="X192" s="16">
        <v>1</v>
      </c>
      <c r="Y192" s="19">
        <v>8.704225352112676</v>
      </c>
      <c r="Z192" s="16">
        <v>150</v>
      </c>
      <c r="AA192" s="16">
        <v>71</v>
      </c>
      <c r="AB192" s="26">
        <v>9.5499999999999989</v>
      </c>
      <c r="AC192" s="26">
        <v>12.75</v>
      </c>
      <c r="AD192" s="26">
        <v>3.2000000000000011</v>
      </c>
      <c r="AE192" s="25">
        <f>Table3[[#This Row],[flies_out]]/Table3[[#This Row],[flies_in]]</f>
        <v>0.47333333333333333</v>
      </c>
    </row>
    <row r="193" spans="1:31" s="16" customFormat="1" x14ac:dyDescent="0.35">
      <c r="A193" s="16">
        <v>11</v>
      </c>
      <c r="B193" s="16" t="s">
        <v>117</v>
      </c>
      <c r="C193" s="16">
        <v>1</v>
      </c>
      <c r="D193" s="17" t="s">
        <v>104</v>
      </c>
      <c r="E193" s="16" t="s">
        <v>3</v>
      </c>
      <c r="F193" s="16">
        <v>1</v>
      </c>
      <c r="G193" s="16" t="s">
        <v>1</v>
      </c>
      <c r="H193" s="18" t="s">
        <v>0</v>
      </c>
      <c r="I193" s="16">
        <v>8</v>
      </c>
      <c r="J193" s="16">
        <v>12</v>
      </c>
      <c r="K193" s="16">
        <v>24</v>
      </c>
      <c r="L193" s="16">
        <v>1</v>
      </c>
      <c r="M193" s="16">
        <v>6</v>
      </c>
      <c r="N193" s="16">
        <v>22</v>
      </c>
      <c r="O193" s="16">
        <v>4</v>
      </c>
      <c r="P193" s="16">
        <v>15</v>
      </c>
      <c r="Q193" s="16">
        <v>16</v>
      </c>
      <c r="R193" s="16">
        <v>3</v>
      </c>
      <c r="S193" s="16">
        <v>8</v>
      </c>
      <c r="T193" s="16">
        <v>1</v>
      </c>
      <c r="U193" s="16">
        <v>2</v>
      </c>
      <c r="V193" s="16">
        <v>0</v>
      </c>
      <c r="W193" s="16">
        <v>0</v>
      </c>
      <c r="X193" s="16">
        <v>0</v>
      </c>
      <c r="Y193" s="19">
        <v>5.8852459016393439</v>
      </c>
      <c r="Z193" s="16">
        <v>150</v>
      </c>
      <c r="AA193" s="16">
        <v>122</v>
      </c>
      <c r="AB193" s="26">
        <v>9.5499999999999989</v>
      </c>
      <c r="AC193" s="26">
        <v>13</v>
      </c>
      <c r="AD193" s="26">
        <v>3.4500000000000011</v>
      </c>
      <c r="AE193" s="25">
        <f>Table3[[#This Row],[flies_out]]/Table3[[#This Row],[flies_in]]</f>
        <v>0.81333333333333335</v>
      </c>
    </row>
    <row r="194" spans="1:31" s="16" customFormat="1" x14ac:dyDescent="0.35">
      <c r="A194" s="16">
        <v>11</v>
      </c>
      <c r="B194" s="16" t="s">
        <v>117</v>
      </c>
      <c r="C194" s="16">
        <v>1</v>
      </c>
      <c r="D194" s="17" t="s">
        <v>104</v>
      </c>
      <c r="E194" s="16" t="s">
        <v>3</v>
      </c>
      <c r="F194" s="16">
        <v>1</v>
      </c>
      <c r="G194" s="16" t="s">
        <v>114</v>
      </c>
      <c r="H194" s="18" t="s">
        <v>2</v>
      </c>
      <c r="I194" s="16">
        <v>3</v>
      </c>
      <c r="J194" s="16">
        <v>6</v>
      </c>
      <c r="K194" s="16">
        <v>9</v>
      </c>
      <c r="L194" s="16">
        <v>12</v>
      </c>
      <c r="M194" s="16">
        <v>4</v>
      </c>
      <c r="N194" s="16">
        <v>13</v>
      </c>
      <c r="O194" s="16">
        <v>4</v>
      </c>
      <c r="P194" s="16">
        <v>10</v>
      </c>
      <c r="Q194" s="16">
        <v>4</v>
      </c>
      <c r="R194" s="16">
        <v>0</v>
      </c>
      <c r="S194" s="16">
        <v>5</v>
      </c>
      <c r="T194" s="16">
        <v>3</v>
      </c>
      <c r="U194" s="16">
        <v>2</v>
      </c>
      <c r="V194" s="16">
        <v>4</v>
      </c>
      <c r="W194" s="16">
        <v>1</v>
      </c>
      <c r="X194" s="16">
        <v>0</v>
      </c>
      <c r="Y194" s="19">
        <v>6.5</v>
      </c>
      <c r="Z194" s="16">
        <v>150</v>
      </c>
      <c r="AA194" s="16">
        <v>80</v>
      </c>
      <c r="AB194" s="26">
        <v>9.5499999999999989</v>
      </c>
      <c r="AC194" s="26">
        <v>13.5</v>
      </c>
      <c r="AD194" s="26">
        <v>3.9500000000000011</v>
      </c>
      <c r="AE194" s="25">
        <f>Table3[[#This Row],[flies_out]]/Table3[[#This Row],[flies_in]]</f>
        <v>0.53333333333333333</v>
      </c>
    </row>
    <row r="195" spans="1:31" s="16" customFormat="1" x14ac:dyDescent="0.35">
      <c r="A195" s="16">
        <v>11</v>
      </c>
      <c r="B195" s="16" t="s">
        <v>118</v>
      </c>
      <c r="C195" s="16">
        <v>1</v>
      </c>
      <c r="D195" s="17" t="s">
        <v>106</v>
      </c>
      <c r="E195" s="16" t="s">
        <v>3</v>
      </c>
      <c r="F195" s="16">
        <v>2</v>
      </c>
      <c r="G195" s="16" t="s">
        <v>112</v>
      </c>
      <c r="H195" s="18" t="s">
        <v>2</v>
      </c>
      <c r="I195" s="16">
        <v>2</v>
      </c>
      <c r="J195" s="16">
        <v>5</v>
      </c>
      <c r="K195" s="16">
        <v>1</v>
      </c>
      <c r="L195" s="16">
        <v>0</v>
      </c>
      <c r="M195" s="16">
        <v>5</v>
      </c>
      <c r="N195" s="16">
        <v>3</v>
      </c>
      <c r="O195" s="16">
        <v>3</v>
      </c>
      <c r="P195" s="16">
        <v>5</v>
      </c>
      <c r="Q195" s="16">
        <v>9</v>
      </c>
      <c r="R195" s="16">
        <v>11</v>
      </c>
      <c r="S195" s="16">
        <v>6</v>
      </c>
      <c r="T195" s="16">
        <v>5</v>
      </c>
      <c r="U195" s="16">
        <v>12</v>
      </c>
      <c r="V195" s="16">
        <v>9</v>
      </c>
      <c r="W195" s="16">
        <v>12</v>
      </c>
      <c r="X195" s="16">
        <v>32</v>
      </c>
      <c r="Y195" s="19">
        <v>11.75</v>
      </c>
      <c r="Z195" s="16">
        <v>150</v>
      </c>
      <c r="AA195" s="16">
        <v>120</v>
      </c>
      <c r="AB195" s="26">
        <v>14.083333333333334</v>
      </c>
      <c r="AC195" s="26">
        <v>18.616666666666667</v>
      </c>
      <c r="AD195" s="26">
        <v>4.5333333333333332</v>
      </c>
      <c r="AE195" s="25">
        <f>Table3[[#This Row],[flies_out]]/Table3[[#This Row],[flies_in]]</f>
        <v>0.8</v>
      </c>
    </row>
    <row r="196" spans="1:31" s="16" customFormat="1" x14ac:dyDescent="0.35">
      <c r="A196" s="16">
        <v>11</v>
      </c>
      <c r="B196" s="16" t="s">
        <v>118</v>
      </c>
      <c r="C196" s="16">
        <v>1</v>
      </c>
      <c r="D196" s="17" t="s">
        <v>106</v>
      </c>
      <c r="E196" s="16" t="s">
        <v>3</v>
      </c>
      <c r="F196" s="16">
        <v>2</v>
      </c>
      <c r="G196" s="16" t="s">
        <v>113</v>
      </c>
      <c r="H196" s="18" t="s">
        <v>0</v>
      </c>
      <c r="I196" s="16">
        <v>5</v>
      </c>
      <c r="J196" s="16">
        <v>4</v>
      </c>
      <c r="K196" s="16">
        <v>1</v>
      </c>
      <c r="L196" s="16">
        <v>1</v>
      </c>
      <c r="M196" s="16">
        <v>5</v>
      </c>
      <c r="N196" s="16">
        <v>5</v>
      </c>
      <c r="O196" s="16">
        <v>7</v>
      </c>
      <c r="P196" s="16">
        <v>9</v>
      </c>
      <c r="Q196" s="16">
        <v>14</v>
      </c>
      <c r="R196" s="16">
        <v>8</v>
      </c>
      <c r="S196" s="16">
        <v>10</v>
      </c>
      <c r="T196" s="16">
        <v>5</v>
      </c>
      <c r="U196" s="16">
        <v>6</v>
      </c>
      <c r="V196" s="16">
        <v>6</v>
      </c>
      <c r="W196" s="16">
        <v>13</v>
      </c>
      <c r="X196" s="16">
        <v>3</v>
      </c>
      <c r="Y196" s="19">
        <v>9.5784313725490193</v>
      </c>
      <c r="Z196" s="16">
        <v>100</v>
      </c>
      <c r="AA196" s="16">
        <v>102</v>
      </c>
      <c r="AB196" s="26">
        <v>14.083333333333334</v>
      </c>
      <c r="AC196" s="26">
        <v>18.766666666666666</v>
      </c>
      <c r="AD196" s="26">
        <v>4.6833333333333318</v>
      </c>
      <c r="AE196" s="25">
        <f>Table3[[#This Row],[flies_out]]/Table3[[#This Row],[flies_in]]</f>
        <v>1.02</v>
      </c>
    </row>
    <row r="197" spans="1:31" s="16" customFormat="1" x14ac:dyDescent="0.35">
      <c r="A197" s="16">
        <v>11</v>
      </c>
      <c r="B197" s="16" t="s">
        <v>118</v>
      </c>
      <c r="C197" s="16">
        <v>1</v>
      </c>
      <c r="D197" s="17" t="s">
        <v>106</v>
      </c>
      <c r="E197" s="16" t="s">
        <v>3</v>
      </c>
      <c r="F197" s="16">
        <v>2</v>
      </c>
      <c r="G197" s="16" t="s">
        <v>1</v>
      </c>
      <c r="H197" s="18" t="s">
        <v>0</v>
      </c>
      <c r="I197" s="16">
        <v>5</v>
      </c>
      <c r="J197" s="16">
        <v>8</v>
      </c>
      <c r="K197" s="16">
        <v>12</v>
      </c>
      <c r="L197" s="16">
        <v>2</v>
      </c>
      <c r="M197" s="16">
        <v>4</v>
      </c>
      <c r="N197" s="16">
        <v>13</v>
      </c>
      <c r="O197" s="16">
        <v>3</v>
      </c>
      <c r="P197" s="16">
        <v>8</v>
      </c>
      <c r="Q197" s="16">
        <v>15</v>
      </c>
      <c r="R197" s="16">
        <v>7</v>
      </c>
      <c r="S197" s="16">
        <v>3</v>
      </c>
      <c r="T197" s="16">
        <v>0</v>
      </c>
      <c r="U197" s="16">
        <v>3</v>
      </c>
      <c r="V197" s="16">
        <v>0</v>
      </c>
      <c r="W197" s="16">
        <v>1</v>
      </c>
      <c r="X197" s="16">
        <v>0</v>
      </c>
      <c r="Y197" s="19">
        <v>6.4285714285714288</v>
      </c>
      <c r="Z197" s="16">
        <v>100</v>
      </c>
      <c r="AA197" s="16">
        <v>84</v>
      </c>
      <c r="AB197" s="26">
        <v>14.083333333333334</v>
      </c>
      <c r="AC197" s="26">
        <v>19</v>
      </c>
      <c r="AD197" s="26">
        <v>4.9166666666666661</v>
      </c>
      <c r="AE197" s="25">
        <f>Table3[[#This Row],[flies_out]]/Table3[[#This Row],[flies_in]]</f>
        <v>0.84</v>
      </c>
    </row>
    <row r="198" spans="1:31" s="16" customFormat="1" x14ac:dyDescent="0.35">
      <c r="A198" s="16">
        <v>11</v>
      </c>
      <c r="B198" s="16" t="s">
        <v>118</v>
      </c>
      <c r="C198" s="16">
        <v>1</v>
      </c>
      <c r="D198" s="17" t="s">
        <v>106</v>
      </c>
      <c r="E198" s="16" t="s">
        <v>3</v>
      </c>
      <c r="F198" s="16">
        <v>2</v>
      </c>
      <c r="G198" s="16" t="s">
        <v>114</v>
      </c>
      <c r="H198" s="18" t="s">
        <v>2</v>
      </c>
      <c r="I198" s="16">
        <v>12</v>
      </c>
      <c r="J198" s="16">
        <v>12</v>
      </c>
      <c r="K198" s="16">
        <v>12</v>
      </c>
      <c r="L198" s="16">
        <v>16</v>
      </c>
      <c r="M198" s="16">
        <v>12</v>
      </c>
      <c r="N198" s="16">
        <v>12</v>
      </c>
      <c r="O198" s="16">
        <v>4</v>
      </c>
      <c r="P198" s="16">
        <v>2</v>
      </c>
      <c r="Q198" s="16">
        <v>2</v>
      </c>
      <c r="R198" s="16">
        <v>0</v>
      </c>
      <c r="S198" s="16">
        <v>3</v>
      </c>
      <c r="T198" s="16">
        <v>2</v>
      </c>
      <c r="U198" s="16">
        <v>1</v>
      </c>
      <c r="V198" s="16">
        <v>0</v>
      </c>
      <c r="W198" s="16">
        <v>0</v>
      </c>
      <c r="X198" s="16">
        <v>0</v>
      </c>
      <c r="Y198" s="19">
        <v>4.4444444444444446</v>
      </c>
      <c r="Z198" s="16">
        <v>150</v>
      </c>
      <c r="AA198" s="16">
        <v>90</v>
      </c>
      <c r="AB198" s="26">
        <v>14.083333333333334</v>
      </c>
      <c r="AC198" s="26">
        <v>19.166666666666668</v>
      </c>
      <c r="AD198" s="26">
        <v>5.0833333333333339</v>
      </c>
      <c r="AE198" s="25">
        <f>Table3[[#This Row],[flies_out]]/Table3[[#This Row],[flies_in]]</f>
        <v>0.6</v>
      </c>
    </row>
    <row r="199" spans="1:31" x14ac:dyDescent="0.35">
      <c r="A199" s="16">
        <v>11</v>
      </c>
      <c r="B199" t="s">
        <v>117</v>
      </c>
      <c r="C199">
        <v>2</v>
      </c>
      <c r="D199" s="17" t="s">
        <v>104</v>
      </c>
      <c r="E199" s="16" t="s">
        <v>3</v>
      </c>
      <c r="F199">
        <v>3</v>
      </c>
      <c r="G199" s="16" t="s">
        <v>112</v>
      </c>
      <c r="H199" s="18" t="s">
        <v>2</v>
      </c>
      <c r="I199">
        <v>4</v>
      </c>
      <c r="J199">
        <v>1</v>
      </c>
      <c r="K199">
        <v>4</v>
      </c>
      <c r="L199">
        <v>4</v>
      </c>
      <c r="M199">
        <v>12</v>
      </c>
      <c r="N199">
        <v>6</v>
      </c>
      <c r="O199">
        <v>3</v>
      </c>
      <c r="P199">
        <v>5</v>
      </c>
      <c r="Q199">
        <v>16</v>
      </c>
      <c r="R199">
        <v>20</v>
      </c>
      <c r="S199">
        <v>8</v>
      </c>
      <c r="T199">
        <v>5</v>
      </c>
      <c r="U199">
        <v>2</v>
      </c>
      <c r="V199">
        <v>2</v>
      </c>
      <c r="W199">
        <v>2</v>
      </c>
      <c r="X199">
        <v>3</v>
      </c>
      <c r="Y199" s="15">
        <v>8.4020618556701034</v>
      </c>
      <c r="Z199">
        <v>120</v>
      </c>
      <c r="AA199">
        <v>97</v>
      </c>
      <c r="AB199" s="25">
        <v>9.25</v>
      </c>
      <c r="AC199" s="25">
        <v>12.5</v>
      </c>
      <c r="AD199" s="25">
        <v>3.25</v>
      </c>
      <c r="AE199" s="25">
        <f>Table3[[#This Row],[flies_out]]/Table3[[#This Row],[flies_in]]</f>
        <v>0.80833333333333335</v>
      </c>
    </row>
    <row r="200" spans="1:31" x14ac:dyDescent="0.35">
      <c r="A200" s="16">
        <v>11</v>
      </c>
      <c r="B200" t="s">
        <v>117</v>
      </c>
      <c r="C200">
        <v>2</v>
      </c>
      <c r="D200" s="17" t="s">
        <v>104</v>
      </c>
      <c r="E200" s="16" t="s">
        <v>3</v>
      </c>
      <c r="F200">
        <v>3</v>
      </c>
      <c r="G200" s="16" t="s">
        <v>113</v>
      </c>
      <c r="H200" s="18" t="s">
        <v>0</v>
      </c>
      <c r="I200">
        <v>5</v>
      </c>
      <c r="J200">
        <v>4</v>
      </c>
      <c r="K200">
        <v>4</v>
      </c>
      <c r="L200">
        <v>0</v>
      </c>
      <c r="M200">
        <v>3</v>
      </c>
      <c r="N200">
        <v>6</v>
      </c>
      <c r="O200">
        <v>5</v>
      </c>
      <c r="P200">
        <v>4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1</v>
      </c>
      <c r="W200">
        <v>0</v>
      </c>
      <c r="X200">
        <v>1</v>
      </c>
      <c r="Y200" s="15">
        <v>6.5813953488372094</v>
      </c>
      <c r="Z200">
        <v>120</v>
      </c>
      <c r="AA200">
        <v>43</v>
      </c>
      <c r="AB200" s="25">
        <v>9.25</v>
      </c>
      <c r="AC200" s="25">
        <v>12.683333333333334</v>
      </c>
      <c r="AD200" s="25">
        <v>3.4333333333333336</v>
      </c>
      <c r="AE200" s="25">
        <f>Table3[[#This Row],[flies_out]]/Table3[[#This Row],[flies_in]]</f>
        <v>0.35833333333333334</v>
      </c>
    </row>
    <row r="201" spans="1:31" x14ac:dyDescent="0.35">
      <c r="A201" s="16">
        <v>11</v>
      </c>
      <c r="B201" t="s">
        <v>117</v>
      </c>
      <c r="C201">
        <v>2</v>
      </c>
      <c r="D201" s="17" t="s">
        <v>104</v>
      </c>
      <c r="E201" s="16" t="s">
        <v>3</v>
      </c>
      <c r="F201">
        <v>3</v>
      </c>
      <c r="G201" s="16" t="s">
        <v>1</v>
      </c>
      <c r="H201" s="18" t="s">
        <v>0</v>
      </c>
      <c r="I201">
        <v>14</v>
      </c>
      <c r="J201">
        <v>16</v>
      </c>
      <c r="K201">
        <v>17</v>
      </c>
      <c r="L201">
        <v>3</v>
      </c>
      <c r="M201">
        <v>0</v>
      </c>
      <c r="N201">
        <v>9</v>
      </c>
      <c r="O201">
        <v>8</v>
      </c>
      <c r="P201">
        <v>11</v>
      </c>
      <c r="Q201">
        <v>2</v>
      </c>
      <c r="R201">
        <v>0</v>
      </c>
      <c r="S201">
        <v>4</v>
      </c>
      <c r="T201">
        <v>0</v>
      </c>
      <c r="U201">
        <v>2</v>
      </c>
      <c r="V201">
        <v>1</v>
      </c>
      <c r="W201">
        <v>1</v>
      </c>
      <c r="X201">
        <v>0</v>
      </c>
      <c r="Y201" s="15">
        <v>4.8181818181818183</v>
      </c>
      <c r="Z201">
        <v>120</v>
      </c>
      <c r="AA201">
        <v>88</v>
      </c>
      <c r="AB201" s="25">
        <v>9.25</v>
      </c>
      <c r="AC201" s="25">
        <v>12.833333333333332</v>
      </c>
      <c r="AD201" s="25">
        <v>3.5833333333333321</v>
      </c>
      <c r="AE201" s="25">
        <f>Table3[[#This Row],[flies_out]]/Table3[[#This Row],[flies_in]]</f>
        <v>0.73333333333333328</v>
      </c>
    </row>
    <row r="202" spans="1:31" x14ac:dyDescent="0.35">
      <c r="A202" s="16">
        <v>11</v>
      </c>
      <c r="B202" t="s">
        <v>117</v>
      </c>
      <c r="C202">
        <v>2</v>
      </c>
      <c r="D202" s="17" t="s">
        <v>104</v>
      </c>
      <c r="E202" s="16" t="s">
        <v>3</v>
      </c>
      <c r="F202">
        <v>3</v>
      </c>
      <c r="G202" s="16" t="s">
        <v>114</v>
      </c>
      <c r="H202" s="18" t="s">
        <v>2</v>
      </c>
      <c r="I202">
        <v>6</v>
      </c>
      <c r="J202">
        <v>6</v>
      </c>
      <c r="K202">
        <v>5</v>
      </c>
      <c r="L202">
        <v>8</v>
      </c>
      <c r="M202">
        <v>14</v>
      </c>
      <c r="N202">
        <v>5</v>
      </c>
      <c r="O202">
        <v>1</v>
      </c>
      <c r="P202">
        <v>2</v>
      </c>
      <c r="Q202">
        <v>4</v>
      </c>
      <c r="R202">
        <v>0</v>
      </c>
      <c r="S202">
        <v>1</v>
      </c>
      <c r="T202">
        <v>5</v>
      </c>
      <c r="U202">
        <v>3</v>
      </c>
      <c r="V202">
        <v>2</v>
      </c>
      <c r="W202">
        <v>1</v>
      </c>
      <c r="X202">
        <v>1</v>
      </c>
      <c r="Y202" s="15">
        <v>6.140625</v>
      </c>
      <c r="Z202">
        <v>120</v>
      </c>
      <c r="AA202">
        <v>64</v>
      </c>
      <c r="AB202" s="25">
        <v>9.25</v>
      </c>
      <c r="AC202" s="25">
        <v>13</v>
      </c>
      <c r="AD202" s="25">
        <v>3.75</v>
      </c>
      <c r="AE202" s="25">
        <f>Table3[[#This Row],[flies_out]]/Table3[[#This Row],[flies_in]]</f>
        <v>0.53333333333333333</v>
      </c>
    </row>
    <row r="203" spans="1:31" x14ac:dyDescent="0.35">
      <c r="A203" s="16">
        <v>11</v>
      </c>
      <c r="B203" t="s">
        <v>118</v>
      </c>
      <c r="C203">
        <v>2</v>
      </c>
      <c r="D203" s="17" t="s">
        <v>106</v>
      </c>
      <c r="E203" s="16" t="s">
        <v>3</v>
      </c>
      <c r="F203">
        <v>4</v>
      </c>
      <c r="G203" s="16" t="s">
        <v>112</v>
      </c>
      <c r="H203" s="18" t="s">
        <v>2</v>
      </c>
      <c r="I203">
        <v>0</v>
      </c>
      <c r="J203">
        <v>2</v>
      </c>
      <c r="K203">
        <v>2</v>
      </c>
      <c r="L203">
        <v>4</v>
      </c>
      <c r="M203">
        <v>14</v>
      </c>
      <c r="N203">
        <v>10</v>
      </c>
      <c r="O203">
        <v>9</v>
      </c>
      <c r="P203">
        <v>10</v>
      </c>
      <c r="Q203">
        <v>2</v>
      </c>
      <c r="R203">
        <v>5</v>
      </c>
      <c r="S203">
        <v>4</v>
      </c>
      <c r="T203">
        <v>0</v>
      </c>
      <c r="U203">
        <v>3</v>
      </c>
      <c r="V203">
        <v>0</v>
      </c>
      <c r="W203">
        <v>8</v>
      </c>
      <c r="X203">
        <v>1</v>
      </c>
      <c r="Y203" s="15">
        <v>7.9189189189189193</v>
      </c>
      <c r="Z203">
        <v>125</v>
      </c>
      <c r="AA203">
        <v>74</v>
      </c>
      <c r="AB203" s="25">
        <v>13.416666666666668</v>
      </c>
      <c r="AC203" s="25">
        <v>16.466666666666669</v>
      </c>
      <c r="AD203" s="25">
        <v>3.0500000000000007</v>
      </c>
      <c r="AE203" s="25">
        <f>Table3[[#This Row],[flies_out]]/Table3[[#This Row],[flies_in]]</f>
        <v>0.59199999999999997</v>
      </c>
    </row>
    <row r="204" spans="1:31" x14ac:dyDescent="0.35">
      <c r="A204" s="16">
        <v>11</v>
      </c>
      <c r="B204" t="s">
        <v>118</v>
      </c>
      <c r="C204">
        <v>2</v>
      </c>
      <c r="D204" s="17" t="s">
        <v>106</v>
      </c>
      <c r="E204" s="16" t="s">
        <v>3</v>
      </c>
      <c r="F204">
        <v>4</v>
      </c>
      <c r="G204" s="16" t="s">
        <v>113</v>
      </c>
      <c r="H204" s="18" t="s">
        <v>0</v>
      </c>
      <c r="I204">
        <v>11</v>
      </c>
      <c r="J204">
        <v>6</v>
      </c>
      <c r="K204">
        <v>9</v>
      </c>
      <c r="L204">
        <v>4</v>
      </c>
      <c r="M204">
        <v>6</v>
      </c>
      <c r="N204">
        <v>10</v>
      </c>
      <c r="O204">
        <v>16</v>
      </c>
      <c r="P204">
        <v>12</v>
      </c>
      <c r="Q204">
        <v>8</v>
      </c>
      <c r="R204">
        <v>2</v>
      </c>
      <c r="S204">
        <v>5</v>
      </c>
      <c r="T204">
        <v>1</v>
      </c>
      <c r="U204">
        <v>0</v>
      </c>
      <c r="V204">
        <v>0</v>
      </c>
      <c r="W204">
        <v>0</v>
      </c>
      <c r="X204">
        <v>0</v>
      </c>
      <c r="Y204" s="15">
        <v>5.8111111111111109</v>
      </c>
      <c r="Z204">
        <v>100</v>
      </c>
      <c r="AA204">
        <v>90</v>
      </c>
      <c r="AB204" s="25">
        <v>13.416666666666668</v>
      </c>
      <c r="AC204" s="25">
        <v>16.600000000000001</v>
      </c>
      <c r="AD204" s="25">
        <v>3.1833333333333336</v>
      </c>
      <c r="AE204" s="25">
        <f>Table3[[#This Row],[flies_out]]/Table3[[#This Row],[flies_in]]</f>
        <v>0.9</v>
      </c>
    </row>
    <row r="205" spans="1:31" x14ac:dyDescent="0.35">
      <c r="A205" s="16">
        <v>11</v>
      </c>
      <c r="B205" t="s">
        <v>118</v>
      </c>
      <c r="C205">
        <v>2</v>
      </c>
      <c r="D205" s="17" t="s">
        <v>106</v>
      </c>
      <c r="E205" s="16" t="s">
        <v>3</v>
      </c>
      <c r="F205">
        <v>4</v>
      </c>
      <c r="G205" s="16" t="s">
        <v>1</v>
      </c>
      <c r="H205" s="18" t="s">
        <v>0</v>
      </c>
      <c r="I205">
        <v>8</v>
      </c>
      <c r="J205">
        <v>12</v>
      </c>
      <c r="K205">
        <v>18</v>
      </c>
      <c r="L205">
        <v>10</v>
      </c>
      <c r="M205">
        <v>8</v>
      </c>
      <c r="N205">
        <v>13</v>
      </c>
      <c r="O205">
        <v>4</v>
      </c>
      <c r="P205">
        <v>6</v>
      </c>
      <c r="Q205">
        <v>7</v>
      </c>
      <c r="R205">
        <v>4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 s="15">
        <v>4.7</v>
      </c>
      <c r="Z205">
        <v>125</v>
      </c>
      <c r="AA205">
        <v>90</v>
      </c>
      <c r="AB205" s="25">
        <v>13.416666666666668</v>
      </c>
      <c r="AC205" s="25">
        <v>16.75</v>
      </c>
      <c r="AD205" s="25">
        <v>3.3333333333333321</v>
      </c>
      <c r="AE205" s="25">
        <f>Table3[[#This Row],[flies_out]]/Table3[[#This Row],[flies_in]]</f>
        <v>0.72</v>
      </c>
    </row>
    <row r="206" spans="1:31" x14ac:dyDescent="0.35">
      <c r="A206" s="16">
        <v>11</v>
      </c>
      <c r="B206" t="s">
        <v>118</v>
      </c>
      <c r="C206">
        <v>2</v>
      </c>
      <c r="D206" s="17" t="s">
        <v>106</v>
      </c>
      <c r="E206" s="16" t="s">
        <v>3</v>
      </c>
      <c r="F206">
        <v>4</v>
      </c>
      <c r="G206" s="16" t="s">
        <v>114</v>
      </c>
      <c r="H206" s="18" t="s">
        <v>2</v>
      </c>
      <c r="I206">
        <v>15</v>
      </c>
      <c r="J206">
        <v>7</v>
      </c>
      <c r="K206">
        <v>11</v>
      </c>
      <c r="L206">
        <v>9</v>
      </c>
      <c r="M206">
        <v>9</v>
      </c>
      <c r="N206">
        <v>12</v>
      </c>
      <c r="O206">
        <v>12</v>
      </c>
      <c r="P206">
        <v>2</v>
      </c>
      <c r="Q206">
        <v>4</v>
      </c>
      <c r="R206">
        <v>0</v>
      </c>
      <c r="S206">
        <v>3</v>
      </c>
      <c r="T206">
        <v>1</v>
      </c>
      <c r="U206">
        <v>2</v>
      </c>
      <c r="V206">
        <v>2</v>
      </c>
      <c r="W206">
        <v>2</v>
      </c>
      <c r="X206">
        <v>1</v>
      </c>
      <c r="Y206" s="15">
        <v>5.3913043478260869</v>
      </c>
      <c r="Z206">
        <v>150</v>
      </c>
      <c r="AA206">
        <v>92</v>
      </c>
      <c r="AB206" s="25">
        <v>13.416666666666668</v>
      </c>
      <c r="AC206" s="25">
        <v>16.866666666666667</v>
      </c>
      <c r="AD206" s="25">
        <v>3.4499999999999993</v>
      </c>
      <c r="AE206" s="25">
        <f>Table3[[#This Row],[flies_out]]/Table3[[#This Row],[flies_in]]</f>
        <v>0.61333333333333329</v>
      </c>
    </row>
    <row r="207" spans="1:31" x14ac:dyDescent="0.35">
      <c r="A207" s="16">
        <v>12</v>
      </c>
      <c r="B207" s="16" t="s">
        <v>117</v>
      </c>
      <c r="C207" s="16">
        <v>1</v>
      </c>
      <c r="D207" s="17" t="s">
        <v>104</v>
      </c>
      <c r="E207" s="16" t="s">
        <v>3</v>
      </c>
      <c r="F207" s="16">
        <v>2</v>
      </c>
      <c r="G207" s="16" t="s">
        <v>112</v>
      </c>
      <c r="H207" s="18" t="s">
        <v>0</v>
      </c>
      <c r="I207">
        <v>2</v>
      </c>
      <c r="J207">
        <v>4</v>
      </c>
      <c r="K207">
        <v>1</v>
      </c>
      <c r="L207">
        <v>1</v>
      </c>
      <c r="M207">
        <v>8</v>
      </c>
      <c r="N207">
        <v>7</v>
      </c>
      <c r="O207">
        <v>9</v>
      </c>
      <c r="P207">
        <v>15</v>
      </c>
      <c r="Q207">
        <v>1</v>
      </c>
      <c r="R207">
        <v>10</v>
      </c>
      <c r="S207">
        <v>3</v>
      </c>
      <c r="T207">
        <v>2</v>
      </c>
      <c r="U207">
        <v>2</v>
      </c>
      <c r="V207">
        <v>1</v>
      </c>
      <c r="W207">
        <v>5</v>
      </c>
      <c r="X207">
        <v>3</v>
      </c>
      <c r="Y207" s="15">
        <v>8.2567567567567561</v>
      </c>
      <c r="Z207">
        <v>150</v>
      </c>
      <c r="AA207">
        <v>74</v>
      </c>
      <c r="AB207" s="25">
        <v>9.3666666666666671</v>
      </c>
      <c r="AC207" s="25">
        <v>12.5</v>
      </c>
      <c r="AD207" s="25">
        <v>3.1333333333333329</v>
      </c>
      <c r="AE207" s="25">
        <f>Table3[[#This Row],[flies_out]]/Table3[[#This Row],[flies_in]]</f>
        <v>0.49333333333333335</v>
      </c>
    </row>
    <row r="208" spans="1:31" x14ac:dyDescent="0.35">
      <c r="A208" s="16">
        <v>12</v>
      </c>
      <c r="B208" s="16" t="s">
        <v>117</v>
      </c>
      <c r="C208" s="16">
        <v>1</v>
      </c>
      <c r="D208" s="17" t="s">
        <v>104</v>
      </c>
      <c r="E208" s="16" t="s">
        <v>3</v>
      </c>
      <c r="F208" s="16">
        <v>2</v>
      </c>
      <c r="G208" s="16" t="s">
        <v>113</v>
      </c>
      <c r="H208" s="18" t="s">
        <v>2</v>
      </c>
      <c r="I208">
        <v>2</v>
      </c>
      <c r="J208">
        <v>1</v>
      </c>
      <c r="K208">
        <v>0</v>
      </c>
      <c r="L208">
        <v>1</v>
      </c>
      <c r="M208">
        <v>1</v>
      </c>
      <c r="N208">
        <v>4</v>
      </c>
      <c r="O208">
        <v>5</v>
      </c>
      <c r="P208">
        <v>7</v>
      </c>
      <c r="Q208">
        <v>9</v>
      </c>
      <c r="R208">
        <v>5</v>
      </c>
      <c r="S208">
        <v>15</v>
      </c>
      <c r="T208">
        <v>10</v>
      </c>
      <c r="U208">
        <v>8</v>
      </c>
      <c r="V208">
        <v>6</v>
      </c>
      <c r="W208">
        <v>4</v>
      </c>
      <c r="X208">
        <v>3</v>
      </c>
      <c r="Y208" s="15">
        <v>10.37037037037037</v>
      </c>
      <c r="Z208">
        <v>150</v>
      </c>
      <c r="AA208">
        <v>81</v>
      </c>
      <c r="AB208" s="25">
        <v>9.3666666666666671</v>
      </c>
      <c r="AC208" s="25">
        <v>12.633333333333333</v>
      </c>
      <c r="AD208" s="25">
        <v>3.2666666666666657</v>
      </c>
      <c r="AE208" s="25">
        <f>Table3[[#This Row],[flies_out]]/Table3[[#This Row],[flies_in]]</f>
        <v>0.54</v>
      </c>
    </row>
    <row r="209" spans="1:31" x14ac:dyDescent="0.35">
      <c r="A209" s="16">
        <v>12</v>
      </c>
      <c r="B209" s="16" t="s">
        <v>117</v>
      </c>
      <c r="C209" s="16">
        <v>1</v>
      </c>
      <c r="D209" s="17" t="s">
        <v>104</v>
      </c>
      <c r="E209" s="16" t="s">
        <v>3</v>
      </c>
      <c r="F209" s="16">
        <v>2</v>
      </c>
      <c r="G209" s="16" t="s">
        <v>1</v>
      </c>
      <c r="H209" s="18" t="s">
        <v>2</v>
      </c>
      <c r="I209">
        <v>9</v>
      </c>
      <c r="J209">
        <v>15</v>
      </c>
      <c r="K209">
        <v>26</v>
      </c>
      <c r="L209">
        <v>3</v>
      </c>
      <c r="M209">
        <v>2</v>
      </c>
      <c r="N209">
        <v>9</v>
      </c>
      <c r="O209">
        <v>5</v>
      </c>
      <c r="P209">
        <v>14</v>
      </c>
      <c r="Q209">
        <v>9</v>
      </c>
      <c r="R209">
        <v>4</v>
      </c>
      <c r="S209">
        <v>8</v>
      </c>
      <c r="T209">
        <v>1</v>
      </c>
      <c r="U209">
        <v>0</v>
      </c>
      <c r="V209">
        <v>1</v>
      </c>
      <c r="W209">
        <v>0</v>
      </c>
      <c r="X209">
        <v>0</v>
      </c>
      <c r="Y209" s="15">
        <v>5.4245283018867925</v>
      </c>
      <c r="Z209">
        <v>150</v>
      </c>
      <c r="AA209">
        <v>106</v>
      </c>
      <c r="AB209" s="25">
        <v>9.3666666666666671</v>
      </c>
      <c r="AC209" s="25">
        <v>12.783333333333333</v>
      </c>
      <c r="AD209" s="25">
        <v>3.4166666666666661</v>
      </c>
      <c r="AE209" s="25">
        <f>Table3[[#This Row],[flies_out]]/Table3[[#This Row],[flies_in]]</f>
        <v>0.70666666666666667</v>
      </c>
    </row>
    <row r="210" spans="1:31" x14ac:dyDescent="0.35">
      <c r="A210" s="16">
        <v>12</v>
      </c>
      <c r="B210" s="16" t="s">
        <v>117</v>
      </c>
      <c r="C210" s="16">
        <v>1</v>
      </c>
      <c r="D210" s="17" t="s">
        <v>104</v>
      </c>
      <c r="E210" s="16" t="s">
        <v>3</v>
      </c>
      <c r="F210" s="16">
        <v>2</v>
      </c>
      <c r="G210" s="16" t="s">
        <v>114</v>
      </c>
      <c r="H210" s="18" t="s">
        <v>0</v>
      </c>
      <c r="I210">
        <v>4</v>
      </c>
      <c r="J210">
        <v>6</v>
      </c>
      <c r="K210">
        <v>8</v>
      </c>
      <c r="L210">
        <v>6</v>
      </c>
      <c r="M210">
        <v>11</v>
      </c>
      <c r="N210">
        <v>12</v>
      </c>
      <c r="O210">
        <v>11</v>
      </c>
      <c r="P210">
        <v>9</v>
      </c>
      <c r="Q210">
        <v>4</v>
      </c>
      <c r="R210">
        <v>0</v>
      </c>
      <c r="S210">
        <v>3</v>
      </c>
      <c r="T210">
        <v>0</v>
      </c>
      <c r="U210">
        <v>1</v>
      </c>
      <c r="V210">
        <v>2</v>
      </c>
      <c r="W210">
        <v>0</v>
      </c>
      <c r="X210">
        <v>0</v>
      </c>
      <c r="Y210" s="15">
        <v>5.8441558441558445</v>
      </c>
      <c r="Z210">
        <v>125</v>
      </c>
      <c r="AA210">
        <v>77</v>
      </c>
      <c r="AB210" s="25">
        <v>9.3666666666666671</v>
      </c>
      <c r="AC210" s="25">
        <v>12.933333333333334</v>
      </c>
      <c r="AD210" s="25">
        <v>3.5666666666666664</v>
      </c>
      <c r="AE210" s="25">
        <f>Table3[[#This Row],[flies_out]]/Table3[[#This Row],[flies_in]]</f>
        <v>0.61599999999999999</v>
      </c>
    </row>
    <row r="211" spans="1:31" x14ac:dyDescent="0.35">
      <c r="A211" s="16">
        <v>12</v>
      </c>
      <c r="B211" s="16" t="s">
        <v>118</v>
      </c>
      <c r="C211" s="16">
        <v>1</v>
      </c>
      <c r="D211" s="17" t="s">
        <v>106</v>
      </c>
      <c r="E211" s="16" t="s">
        <v>3</v>
      </c>
      <c r="F211" s="16">
        <v>1</v>
      </c>
      <c r="G211" s="16" t="s">
        <v>112</v>
      </c>
      <c r="H211" s="18" t="s">
        <v>0</v>
      </c>
      <c r="I211">
        <v>3</v>
      </c>
      <c r="J211">
        <v>3</v>
      </c>
      <c r="K211">
        <v>4</v>
      </c>
      <c r="L211">
        <v>3</v>
      </c>
      <c r="M211">
        <v>8</v>
      </c>
      <c r="N211">
        <v>17</v>
      </c>
      <c r="O211">
        <v>13</v>
      </c>
      <c r="P211">
        <v>16</v>
      </c>
      <c r="Q211">
        <v>15</v>
      </c>
      <c r="R211">
        <v>11</v>
      </c>
      <c r="S211">
        <v>8</v>
      </c>
      <c r="T211">
        <v>0</v>
      </c>
      <c r="U211">
        <v>3</v>
      </c>
      <c r="V211">
        <v>4</v>
      </c>
      <c r="W211">
        <v>2</v>
      </c>
      <c r="X211">
        <v>0</v>
      </c>
      <c r="Y211" s="15">
        <v>7.7454545454545451</v>
      </c>
      <c r="Z211">
        <v>125</v>
      </c>
      <c r="AA211">
        <v>110</v>
      </c>
      <c r="AB211" s="25">
        <v>13.25</v>
      </c>
      <c r="AC211" s="25">
        <v>16.950000000000003</v>
      </c>
      <c r="AD211" s="25">
        <v>3.7000000000000028</v>
      </c>
      <c r="AE211" s="25">
        <f>Table3[[#This Row],[flies_out]]/Table3[[#This Row],[flies_in]]</f>
        <v>0.88</v>
      </c>
    </row>
    <row r="212" spans="1:31" x14ac:dyDescent="0.35">
      <c r="A212" s="16">
        <v>12</v>
      </c>
      <c r="B212" s="16" t="s">
        <v>118</v>
      </c>
      <c r="C212" s="16">
        <v>1</v>
      </c>
      <c r="D212" s="17" t="s">
        <v>106</v>
      </c>
      <c r="E212" s="16" t="s">
        <v>3</v>
      </c>
      <c r="F212" s="16">
        <v>1</v>
      </c>
      <c r="G212" s="16" t="s">
        <v>113</v>
      </c>
      <c r="H212" s="18" t="s">
        <v>2</v>
      </c>
      <c r="I212">
        <v>12</v>
      </c>
      <c r="J212">
        <v>8</v>
      </c>
      <c r="K212">
        <v>0</v>
      </c>
      <c r="L212">
        <v>1</v>
      </c>
      <c r="M212">
        <v>2</v>
      </c>
      <c r="N212">
        <v>5</v>
      </c>
      <c r="O212">
        <v>8</v>
      </c>
      <c r="P212">
        <v>4</v>
      </c>
      <c r="Q212">
        <v>6</v>
      </c>
      <c r="R212">
        <v>7</v>
      </c>
      <c r="S212">
        <v>7</v>
      </c>
      <c r="T212">
        <v>5</v>
      </c>
      <c r="U212">
        <v>1</v>
      </c>
      <c r="V212">
        <v>4</v>
      </c>
      <c r="W212">
        <v>3</v>
      </c>
      <c r="X212">
        <v>1</v>
      </c>
      <c r="Y212" s="15">
        <v>7.4459459459459456</v>
      </c>
      <c r="Z212">
        <v>150</v>
      </c>
      <c r="AA212">
        <v>74</v>
      </c>
      <c r="AB212" s="25">
        <v>13.25</v>
      </c>
      <c r="AC212" s="25">
        <v>16.833333333333332</v>
      </c>
      <c r="AD212" s="25">
        <v>3.5833333333333321</v>
      </c>
      <c r="AE212" s="25">
        <f>Table3[[#This Row],[flies_out]]/Table3[[#This Row],[flies_in]]</f>
        <v>0.49333333333333335</v>
      </c>
    </row>
    <row r="213" spans="1:31" x14ac:dyDescent="0.35">
      <c r="A213" s="16">
        <v>12</v>
      </c>
      <c r="B213" s="16" t="s">
        <v>118</v>
      </c>
      <c r="C213" s="16">
        <v>1</v>
      </c>
      <c r="D213" s="17" t="s">
        <v>106</v>
      </c>
      <c r="E213" s="16" t="s">
        <v>3</v>
      </c>
      <c r="F213" s="16">
        <v>1</v>
      </c>
      <c r="G213" s="16" t="s">
        <v>1</v>
      </c>
      <c r="H213" s="18" t="s">
        <v>2</v>
      </c>
      <c r="I213">
        <v>1</v>
      </c>
      <c r="J213">
        <v>12</v>
      </c>
      <c r="K213">
        <v>13</v>
      </c>
      <c r="L213">
        <v>11</v>
      </c>
      <c r="M213">
        <v>12</v>
      </c>
      <c r="N213">
        <v>16</v>
      </c>
      <c r="O213">
        <v>5</v>
      </c>
      <c r="P213">
        <v>4</v>
      </c>
      <c r="Q213">
        <v>13</v>
      </c>
      <c r="R213">
        <v>6</v>
      </c>
      <c r="S213">
        <v>8</v>
      </c>
      <c r="T213">
        <v>0</v>
      </c>
      <c r="U213">
        <v>0</v>
      </c>
      <c r="V213">
        <v>1</v>
      </c>
      <c r="W213">
        <v>0</v>
      </c>
      <c r="X213">
        <v>0</v>
      </c>
      <c r="Y213" s="15">
        <v>5.9803921568627452</v>
      </c>
      <c r="Z213">
        <v>150</v>
      </c>
      <c r="AA213">
        <v>102</v>
      </c>
      <c r="AB213" s="25">
        <v>13.25</v>
      </c>
      <c r="AC213" s="25">
        <v>16.666666666666664</v>
      </c>
      <c r="AD213" s="25">
        <v>3.4166666666666643</v>
      </c>
      <c r="AE213" s="25">
        <f>Table3[[#This Row],[flies_out]]/Table3[[#This Row],[flies_in]]</f>
        <v>0.68</v>
      </c>
    </row>
    <row r="214" spans="1:31" x14ac:dyDescent="0.35">
      <c r="A214" s="16">
        <v>12</v>
      </c>
      <c r="B214" s="16" t="s">
        <v>118</v>
      </c>
      <c r="C214" s="16">
        <v>1</v>
      </c>
      <c r="D214" s="17" t="s">
        <v>106</v>
      </c>
      <c r="E214" s="16" t="s">
        <v>3</v>
      </c>
      <c r="F214" s="16">
        <v>1</v>
      </c>
      <c r="G214" s="16" t="s">
        <v>114</v>
      </c>
      <c r="H214" s="18" t="s">
        <v>0</v>
      </c>
      <c r="I214">
        <v>8</v>
      </c>
      <c r="J214">
        <v>9</v>
      </c>
      <c r="K214">
        <v>13</v>
      </c>
      <c r="L214">
        <v>12</v>
      </c>
      <c r="M214">
        <v>13</v>
      </c>
      <c r="N214">
        <v>7</v>
      </c>
      <c r="O214">
        <v>12</v>
      </c>
      <c r="P214">
        <v>8</v>
      </c>
      <c r="Q214">
        <v>7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1</v>
      </c>
      <c r="X214">
        <v>0</v>
      </c>
      <c r="Y214" s="15">
        <v>5.0760869565217392</v>
      </c>
      <c r="Z214">
        <v>150</v>
      </c>
      <c r="AA214">
        <v>92</v>
      </c>
      <c r="AB214" s="25">
        <v>13.25</v>
      </c>
      <c r="AC214" s="25">
        <v>16.566666666666666</v>
      </c>
      <c r="AD214" s="25">
        <v>3.3166666666666664</v>
      </c>
      <c r="AE214" s="25">
        <f>Table3[[#This Row],[flies_out]]/Table3[[#This Row],[flies_in]]</f>
        <v>0.61333333333333329</v>
      </c>
    </row>
    <row r="215" spans="1:31" x14ac:dyDescent="0.35">
      <c r="A215" s="16">
        <v>12</v>
      </c>
      <c r="B215" s="16" t="s">
        <v>117</v>
      </c>
      <c r="C215">
        <v>2</v>
      </c>
      <c r="D215" s="17" t="s">
        <v>104</v>
      </c>
      <c r="E215" s="16" t="s">
        <v>3</v>
      </c>
      <c r="F215">
        <v>4</v>
      </c>
      <c r="G215" s="16" t="s">
        <v>112</v>
      </c>
      <c r="H215" s="18" t="s">
        <v>0</v>
      </c>
      <c r="I215">
        <v>3</v>
      </c>
      <c r="J215">
        <v>3</v>
      </c>
      <c r="K215">
        <v>2</v>
      </c>
      <c r="L215">
        <v>1</v>
      </c>
      <c r="M215">
        <v>0</v>
      </c>
      <c r="N215">
        <v>7</v>
      </c>
      <c r="O215">
        <v>3</v>
      </c>
      <c r="P215">
        <v>2</v>
      </c>
      <c r="Q215">
        <v>23</v>
      </c>
      <c r="R215">
        <v>5</v>
      </c>
      <c r="S215">
        <v>4</v>
      </c>
      <c r="T215">
        <v>3</v>
      </c>
      <c r="U215">
        <v>1</v>
      </c>
      <c r="V215">
        <v>1</v>
      </c>
      <c r="W215">
        <v>2</v>
      </c>
      <c r="X215">
        <v>11</v>
      </c>
      <c r="Y215" s="15">
        <v>9.408450704225352</v>
      </c>
      <c r="Z215">
        <v>125</v>
      </c>
      <c r="AA215">
        <v>71</v>
      </c>
      <c r="AB215" s="25">
        <v>9.3833333333333329</v>
      </c>
      <c r="AC215" s="25">
        <v>12.55</v>
      </c>
      <c r="AD215" s="25">
        <v>3.1666666666666679</v>
      </c>
      <c r="AE215" s="25">
        <f>Table3[[#This Row],[flies_out]]/Table3[[#This Row],[flies_in]]</f>
        <v>0.56799999999999995</v>
      </c>
    </row>
    <row r="216" spans="1:31" x14ac:dyDescent="0.35">
      <c r="A216" s="16">
        <v>12</v>
      </c>
      <c r="B216" s="16" t="s">
        <v>117</v>
      </c>
      <c r="C216">
        <v>2</v>
      </c>
      <c r="D216" s="17" t="s">
        <v>104</v>
      </c>
      <c r="E216" s="16" t="s">
        <v>3</v>
      </c>
      <c r="F216">
        <v>4</v>
      </c>
      <c r="G216" s="16" t="s">
        <v>113</v>
      </c>
      <c r="H216" s="18" t="s">
        <v>2</v>
      </c>
      <c r="I216">
        <v>5</v>
      </c>
      <c r="J216">
        <v>2</v>
      </c>
      <c r="K216">
        <v>2</v>
      </c>
      <c r="L216">
        <v>3</v>
      </c>
      <c r="M216">
        <v>1</v>
      </c>
      <c r="N216">
        <v>4</v>
      </c>
      <c r="O216">
        <v>5</v>
      </c>
      <c r="P216">
        <v>13</v>
      </c>
      <c r="Q216">
        <v>3</v>
      </c>
      <c r="R216">
        <v>8</v>
      </c>
      <c r="S216">
        <v>8</v>
      </c>
      <c r="T216">
        <v>6</v>
      </c>
      <c r="U216">
        <v>4</v>
      </c>
      <c r="V216">
        <v>6</v>
      </c>
      <c r="W216">
        <v>9</v>
      </c>
      <c r="X216">
        <v>11</v>
      </c>
      <c r="Y216" s="15">
        <v>10.1</v>
      </c>
      <c r="Z216">
        <v>150</v>
      </c>
      <c r="AA216">
        <v>90</v>
      </c>
      <c r="AB216" s="25">
        <v>9.3833333333333329</v>
      </c>
      <c r="AC216" s="25">
        <v>12.7</v>
      </c>
      <c r="AD216" s="25">
        <v>3.3166666666666664</v>
      </c>
      <c r="AE216" s="25">
        <f>Table3[[#This Row],[flies_out]]/Table3[[#This Row],[flies_in]]</f>
        <v>0.6</v>
      </c>
    </row>
    <row r="217" spans="1:31" x14ac:dyDescent="0.35">
      <c r="A217" s="16">
        <v>12</v>
      </c>
      <c r="B217" s="16" t="s">
        <v>117</v>
      </c>
      <c r="C217">
        <v>2</v>
      </c>
      <c r="D217" s="17" t="s">
        <v>104</v>
      </c>
      <c r="E217" s="16" t="s">
        <v>3</v>
      </c>
      <c r="F217">
        <v>4</v>
      </c>
      <c r="G217" s="16" t="s">
        <v>1</v>
      </c>
      <c r="H217" s="18" t="s">
        <v>2</v>
      </c>
      <c r="I217">
        <v>7</v>
      </c>
      <c r="J217">
        <v>23</v>
      </c>
      <c r="K217">
        <v>1</v>
      </c>
      <c r="L217">
        <v>6</v>
      </c>
      <c r="M217">
        <v>5</v>
      </c>
      <c r="N217">
        <v>4</v>
      </c>
      <c r="O217">
        <v>6</v>
      </c>
      <c r="P217">
        <v>10</v>
      </c>
      <c r="Q217">
        <v>1</v>
      </c>
      <c r="R217">
        <v>4</v>
      </c>
      <c r="S217">
        <v>0</v>
      </c>
      <c r="T217">
        <v>1</v>
      </c>
      <c r="U217">
        <v>1</v>
      </c>
      <c r="V217">
        <v>0</v>
      </c>
      <c r="W217">
        <v>3</v>
      </c>
      <c r="X217">
        <v>1</v>
      </c>
      <c r="Y217" s="15">
        <v>5.2876712328767121</v>
      </c>
      <c r="Z217">
        <v>125</v>
      </c>
      <c r="AA217">
        <v>73</v>
      </c>
      <c r="AB217" s="25">
        <v>9.3833333333333329</v>
      </c>
      <c r="AC217" s="25">
        <v>12.85</v>
      </c>
      <c r="AD217" s="25">
        <v>3.4666666666666668</v>
      </c>
      <c r="AE217" s="25">
        <f>Table3[[#This Row],[flies_out]]/Table3[[#This Row],[flies_in]]</f>
        <v>0.58399999999999996</v>
      </c>
    </row>
    <row r="218" spans="1:31" x14ac:dyDescent="0.35">
      <c r="A218" s="16">
        <v>12</v>
      </c>
      <c r="B218" s="16" t="s">
        <v>117</v>
      </c>
      <c r="C218">
        <v>2</v>
      </c>
      <c r="D218" s="17" t="s">
        <v>104</v>
      </c>
      <c r="E218" s="16" t="s">
        <v>3</v>
      </c>
      <c r="F218">
        <v>4</v>
      </c>
      <c r="G218" s="16" t="s">
        <v>114</v>
      </c>
      <c r="H218" s="18" t="s">
        <v>0</v>
      </c>
      <c r="I218">
        <v>7</v>
      </c>
      <c r="J218">
        <v>10</v>
      </c>
      <c r="K218">
        <v>6</v>
      </c>
      <c r="L218">
        <v>9</v>
      </c>
      <c r="M218">
        <v>11</v>
      </c>
      <c r="N218">
        <v>7</v>
      </c>
      <c r="O218">
        <v>11</v>
      </c>
      <c r="P218">
        <v>7</v>
      </c>
      <c r="Q218">
        <v>5</v>
      </c>
      <c r="R218">
        <v>0</v>
      </c>
      <c r="S218">
        <v>2</v>
      </c>
      <c r="T218">
        <v>1</v>
      </c>
      <c r="U218">
        <v>0</v>
      </c>
      <c r="V218">
        <v>1</v>
      </c>
      <c r="W218">
        <v>0</v>
      </c>
      <c r="X218">
        <v>0</v>
      </c>
      <c r="Y218" s="15">
        <v>5.2467532467532472</v>
      </c>
      <c r="Z218">
        <v>125</v>
      </c>
      <c r="AA218">
        <v>77</v>
      </c>
      <c r="AB218" s="25">
        <v>9.3833333333333329</v>
      </c>
      <c r="AC218" s="25">
        <v>12.95</v>
      </c>
      <c r="AD218" s="25">
        <v>3.5666666666666664</v>
      </c>
      <c r="AE218" s="25">
        <f>Table3[[#This Row],[flies_out]]/Table3[[#This Row],[flies_in]]</f>
        <v>0.61599999999999999</v>
      </c>
    </row>
    <row r="219" spans="1:31" x14ac:dyDescent="0.35">
      <c r="A219" s="16">
        <v>12</v>
      </c>
      <c r="B219" s="16" t="s">
        <v>118</v>
      </c>
      <c r="C219">
        <v>2</v>
      </c>
      <c r="D219" s="17" t="s">
        <v>106</v>
      </c>
      <c r="E219" s="16" t="s">
        <v>3</v>
      </c>
      <c r="F219">
        <v>3</v>
      </c>
      <c r="G219" s="16" t="s">
        <v>112</v>
      </c>
      <c r="H219" s="18" t="s">
        <v>0</v>
      </c>
      <c r="I219">
        <v>2</v>
      </c>
      <c r="J219">
        <v>2</v>
      </c>
      <c r="K219">
        <v>1</v>
      </c>
      <c r="L219">
        <v>2</v>
      </c>
      <c r="M219">
        <v>12</v>
      </c>
      <c r="N219">
        <v>8</v>
      </c>
      <c r="O219">
        <v>8</v>
      </c>
      <c r="P219">
        <v>13</v>
      </c>
      <c r="Q219">
        <v>4</v>
      </c>
      <c r="R219">
        <v>11</v>
      </c>
      <c r="S219">
        <v>7</v>
      </c>
      <c r="T219">
        <v>2</v>
      </c>
      <c r="U219">
        <v>4</v>
      </c>
      <c r="V219">
        <v>2</v>
      </c>
      <c r="W219">
        <v>2</v>
      </c>
      <c r="X219">
        <v>0</v>
      </c>
      <c r="Y219" s="15">
        <v>8.0250000000000004</v>
      </c>
      <c r="Z219">
        <v>125</v>
      </c>
      <c r="AA219">
        <v>80</v>
      </c>
      <c r="AB219" s="25">
        <v>13.5</v>
      </c>
      <c r="AC219" s="25">
        <v>17</v>
      </c>
      <c r="AD219" s="25">
        <v>3.5</v>
      </c>
      <c r="AE219" s="25">
        <f>Table3[[#This Row],[flies_out]]/Table3[[#This Row],[flies_in]]</f>
        <v>0.64</v>
      </c>
    </row>
    <row r="220" spans="1:31" x14ac:dyDescent="0.35">
      <c r="A220" s="16">
        <v>12</v>
      </c>
      <c r="B220" s="16" t="s">
        <v>118</v>
      </c>
      <c r="C220">
        <v>2</v>
      </c>
      <c r="D220" s="17" t="s">
        <v>106</v>
      </c>
      <c r="E220" s="16" t="s">
        <v>3</v>
      </c>
      <c r="F220">
        <v>3</v>
      </c>
      <c r="G220" s="16" t="s">
        <v>113</v>
      </c>
      <c r="H220" s="18" t="s">
        <v>2</v>
      </c>
      <c r="I220">
        <v>1</v>
      </c>
      <c r="J220">
        <v>2</v>
      </c>
      <c r="K220">
        <v>1</v>
      </c>
      <c r="L220">
        <v>2</v>
      </c>
      <c r="M220">
        <v>1</v>
      </c>
      <c r="N220">
        <v>4</v>
      </c>
      <c r="O220">
        <v>6</v>
      </c>
      <c r="P220">
        <v>2</v>
      </c>
      <c r="Q220">
        <v>3</v>
      </c>
      <c r="R220">
        <v>0</v>
      </c>
      <c r="S220">
        <v>2</v>
      </c>
      <c r="T220">
        <v>0</v>
      </c>
      <c r="U220">
        <v>1</v>
      </c>
      <c r="V220">
        <v>0</v>
      </c>
      <c r="W220">
        <v>4</v>
      </c>
      <c r="X220">
        <v>3</v>
      </c>
      <c r="Y220" s="15">
        <v>8.53125</v>
      </c>
      <c r="Z220">
        <v>100</v>
      </c>
      <c r="AA220">
        <v>32</v>
      </c>
      <c r="AB220" s="25">
        <v>13.5</v>
      </c>
      <c r="AC220" s="25">
        <v>17.083333333333336</v>
      </c>
      <c r="AD220" s="25">
        <v>3.5833333333333357</v>
      </c>
      <c r="AE220" s="25">
        <f>Table3[[#This Row],[flies_out]]/Table3[[#This Row],[flies_in]]</f>
        <v>0.32</v>
      </c>
    </row>
    <row r="221" spans="1:31" x14ac:dyDescent="0.35">
      <c r="A221" s="16">
        <v>12</v>
      </c>
      <c r="B221" s="16" t="s">
        <v>118</v>
      </c>
      <c r="C221">
        <v>2</v>
      </c>
      <c r="D221" s="17" t="s">
        <v>106</v>
      </c>
      <c r="E221" s="16" t="s">
        <v>3</v>
      </c>
      <c r="F221">
        <v>3</v>
      </c>
      <c r="G221" s="16" t="s">
        <v>1</v>
      </c>
      <c r="H221" s="18" t="s">
        <v>2</v>
      </c>
      <c r="I221">
        <v>5</v>
      </c>
      <c r="J221">
        <v>5</v>
      </c>
      <c r="K221">
        <v>7</v>
      </c>
      <c r="L221">
        <v>5</v>
      </c>
      <c r="M221">
        <v>2</v>
      </c>
      <c r="N221">
        <v>6</v>
      </c>
      <c r="O221">
        <v>5</v>
      </c>
      <c r="P221">
        <v>3</v>
      </c>
      <c r="Q221">
        <v>9</v>
      </c>
      <c r="R221">
        <v>5</v>
      </c>
      <c r="S221">
        <v>7</v>
      </c>
      <c r="T221">
        <v>0</v>
      </c>
      <c r="U221">
        <v>1</v>
      </c>
      <c r="V221">
        <v>1</v>
      </c>
      <c r="W221">
        <v>0</v>
      </c>
      <c r="X221">
        <v>0</v>
      </c>
      <c r="Y221" s="15">
        <v>6.4918032786885247</v>
      </c>
      <c r="Z221">
        <v>100</v>
      </c>
      <c r="AA221">
        <v>61</v>
      </c>
      <c r="AB221" s="25">
        <v>13.5</v>
      </c>
      <c r="AC221" s="25">
        <v>17.183333333333334</v>
      </c>
      <c r="AD221" s="25">
        <v>3.6833333333333336</v>
      </c>
      <c r="AE221" s="25">
        <f>Table3[[#This Row],[flies_out]]/Table3[[#This Row],[flies_in]]</f>
        <v>0.61</v>
      </c>
    </row>
    <row r="222" spans="1:31" x14ac:dyDescent="0.35">
      <c r="A222" s="16">
        <v>12</v>
      </c>
      <c r="B222" s="16" t="s">
        <v>118</v>
      </c>
      <c r="C222">
        <v>2</v>
      </c>
      <c r="D222" s="17" t="s">
        <v>106</v>
      </c>
      <c r="E222" s="16" t="s">
        <v>3</v>
      </c>
      <c r="F222">
        <v>3</v>
      </c>
      <c r="G222" s="16" t="s">
        <v>114</v>
      </c>
      <c r="H222" s="18" t="s">
        <v>0</v>
      </c>
      <c r="I222">
        <v>8</v>
      </c>
      <c r="J222">
        <v>8</v>
      </c>
      <c r="K222">
        <v>5</v>
      </c>
      <c r="L222">
        <v>9</v>
      </c>
      <c r="M222">
        <v>16</v>
      </c>
      <c r="N222">
        <v>5</v>
      </c>
      <c r="O222">
        <v>10</v>
      </c>
      <c r="P222">
        <v>9</v>
      </c>
      <c r="Q222">
        <v>4</v>
      </c>
      <c r="R222">
        <v>1</v>
      </c>
      <c r="S222">
        <v>1</v>
      </c>
      <c r="T222">
        <v>0</v>
      </c>
      <c r="U222">
        <v>0</v>
      </c>
      <c r="V222">
        <v>2</v>
      </c>
      <c r="W222">
        <v>0</v>
      </c>
      <c r="X222">
        <v>0</v>
      </c>
      <c r="Y222" s="15">
        <v>5.2820512820512819</v>
      </c>
      <c r="Z222">
        <v>125</v>
      </c>
      <c r="AA222">
        <v>78</v>
      </c>
      <c r="AB222" s="25">
        <v>13.5</v>
      </c>
      <c r="AC222" s="25">
        <v>17.350000000000001</v>
      </c>
      <c r="AD222" s="25">
        <v>3.8500000000000014</v>
      </c>
      <c r="AE222" s="25">
        <f>Table3[[#This Row],[flies_out]]/Table3[[#This Row],[flies_in]]</f>
        <v>0.624</v>
      </c>
    </row>
    <row r="223" spans="1:31" x14ac:dyDescent="0.35">
      <c r="A223" s="16">
        <v>13</v>
      </c>
      <c r="B223" s="16" t="s">
        <v>117</v>
      </c>
      <c r="C223" s="16">
        <v>1</v>
      </c>
      <c r="D223" s="17" t="s">
        <v>104</v>
      </c>
      <c r="E223" s="16" t="s">
        <v>3</v>
      </c>
      <c r="F223" s="16">
        <v>1</v>
      </c>
      <c r="G223" s="16" t="s">
        <v>112</v>
      </c>
      <c r="H223" s="11" t="s">
        <v>2</v>
      </c>
      <c r="I223">
        <v>7</v>
      </c>
      <c r="J223">
        <v>7</v>
      </c>
      <c r="K223">
        <v>1</v>
      </c>
      <c r="L223">
        <v>1</v>
      </c>
      <c r="M223">
        <v>7</v>
      </c>
      <c r="N223">
        <v>2</v>
      </c>
      <c r="O223">
        <v>3</v>
      </c>
      <c r="P223">
        <v>1</v>
      </c>
      <c r="Q223">
        <v>5</v>
      </c>
      <c r="R223">
        <v>6</v>
      </c>
      <c r="S223">
        <v>5</v>
      </c>
      <c r="T223">
        <v>7</v>
      </c>
      <c r="U223">
        <v>7</v>
      </c>
      <c r="V223">
        <v>3</v>
      </c>
      <c r="W223">
        <v>6</v>
      </c>
      <c r="X223">
        <v>20</v>
      </c>
      <c r="Y223" s="15">
        <v>10.125</v>
      </c>
      <c r="Z223">
        <v>150</v>
      </c>
      <c r="AA223">
        <v>88</v>
      </c>
      <c r="AB223" s="25">
        <v>9.4166666666666661</v>
      </c>
      <c r="AC223" s="25">
        <v>12.75</v>
      </c>
      <c r="AD223" s="25">
        <v>3.3333333333333339</v>
      </c>
      <c r="AE223" s="25">
        <f>Table3[[#This Row],[flies_out]]/Table3[[#This Row],[flies_in]]</f>
        <v>0.58666666666666667</v>
      </c>
    </row>
    <row r="224" spans="1:31" x14ac:dyDescent="0.35">
      <c r="A224" s="16">
        <v>13</v>
      </c>
      <c r="B224" s="16" t="s">
        <v>117</v>
      </c>
      <c r="C224" s="16">
        <v>1</v>
      </c>
      <c r="D224" s="17" t="s">
        <v>104</v>
      </c>
      <c r="E224" s="16" t="s">
        <v>3</v>
      </c>
      <c r="F224" s="16">
        <v>1</v>
      </c>
      <c r="G224" s="16" t="s">
        <v>113</v>
      </c>
      <c r="H224" s="11" t="s">
        <v>0</v>
      </c>
      <c r="I224">
        <v>3</v>
      </c>
      <c r="J224">
        <v>5</v>
      </c>
      <c r="K224">
        <v>6</v>
      </c>
      <c r="L224">
        <v>1</v>
      </c>
      <c r="M224">
        <v>1</v>
      </c>
      <c r="N224">
        <v>1</v>
      </c>
      <c r="O224">
        <v>13</v>
      </c>
      <c r="P224">
        <v>14</v>
      </c>
      <c r="Q224">
        <v>6</v>
      </c>
      <c r="R224">
        <v>7</v>
      </c>
      <c r="S224">
        <v>7</v>
      </c>
      <c r="T224">
        <v>7</v>
      </c>
      <c r="U224">
        <v>5</v>
      </c>
      <c r="V224">
        <v>2</v>
      </c>
      <c r="W224">
        <v>0</v>
      </c>
      <c r="X224">
        <v>2</v>
      </c>
      <c r="Y224" s="15">
        <v>8.2375000000000007</v>
      </c>
      <c r="Z224">
        <v>125</v>
      </c>
      <c r="AA224">
        <v>80</v>
      </c>
      <c r="AB224" s="25">
        <v>9.4166666666666661</v>
      </c>
      <c r="AC224" s="25">
        <v>12.899999999999999</v>
      </c>
      <c r="AD224" s="25">
        <v>3.4833333333333325</v>
      </c>
      <c r="AE224" s="25">
        <f>Table3[[#This Row],[flies_out]]/Table3[[#This Row],[flies_in]]</f>
        <v>0.64</v>
      </c>
    </row>
    <row r="225" spans="1:31" x14ac:dyDescent="0.35">
      <c r="A225" s="16">
        <v>13</v>
      </c>
      <c r="B225" s="16" t="s">
        <v>117</v>
      </c>
      <c r="C225" s="16">
        <v>1</v>
      </c>
      <c r="D225" s="17" t="s">
        <v>104</v>
      </c>
      <c r="E225" s="16" t="s">
        <v>3</v>
      </c>
      <c r="F225" s="16">
        <v>1</v>
      </c>
      <c r="G225" s="16" t="s">
        <v>1</v>
      </c>
      <c r="H225" s="11" t="s">
        <v>0</v>
      </c>
      <c r="I225">
        <v>12</v>
      </c>
      <c r="J225">
        <v>15</v>
      </c>
      <c r="K225">
        <v>19</v>
      </c>
      <c r="L225">
        <v>4</v>
      </c>
      <c r="M225">
        <v>3</v>
      </c>
      <c r="N225">
        <v>11</v>
      </c>
      <c r="O225">
        <v>6</v>
      </c>
      <c r="P225">
        <v>7</v>
      </c>
      <c r="Q225">
        <v>18</v>
      </c>
      <c r="R225">
        <v>7</v>
      </c>
      <c r="S225">
        <v>5</v>
      </c>
      <c r="T225">
        <v>1</v>
      </c>
      <c r="U225">
        <v>2</v>
      </c>
      <c r="V225">
        <v>0</v>
      </c>
      <c r="W225">
        <v>0</v>
      </c>
      <c r="X225">
        <v>0</v>
      </c>
      <c r="Y225" s="15">
        <v>5.627272727272727</v>
      </c>
      <c r="Z225">
        <v>150</v>
      </c>
      <c r="AA225">
        <v>110</v>
      </c>
      <c r="AB225" s="25">
        <v>9.4166666666666661</v>
      </c>
      <c r="AC225" s="25">
        <v>13</v>
      </c>
      <c r="AD225" s="25">
        <v>3.5833333333333339</v>
      </c>
      <c r="AE225" s="25">
        <f>Table3[[#This Row],[flies_out]]/Table3[[#This Row],[flies_in]]</f>
        <v>0.73333333333333328</v>
      </c>
    </row>
    <row r="226" spans="1:31" x14ac:dyDescent="0.35">
      <c r="A226" s="16">
        <v>13</v>
      </c>
      <c r="B226" s="16" t="s">
        <v>117</v>
      </c>
      <c r="C226" s="16">
        <v>1</v>
      </c>
      <c r="D226" s="17" t="s">
        <v>104</v>
      </c>
      <c r="E226" s="16" t="s">
        <v>3</v>
      </c>
      <c r="F226" s="16">
        <v>1</v>
      </c>
      <c r="G226" s="16" t="s">
        <v>114</v>
      </c>
      <c r="H226" s="11" t="s">
        <v>2</v>
      </c>
      <c r="I226">
        <v>9</v>
      </c>
      <c r="J226">
        <v>11</v>
      </c>
      <c r="K226">
        <v>7</v>
      </c>
      <c r="L226">
        <v>6</v>
      </c>
      <c r="M226">
        <v>9</v>
      </c>
      <c r="N226">
        <v>9</v>
      </c>
      <c r="O226">
        <v>7</v>
      </c>
      <c r="P226">
        <v>5</v>
      </c>
      <c r="Q226">
        <v>1</v>
      </c>
      <c r="R226">
        <v>0</v>
      </c>
      <c r="S226">
        <v>5</v>
      </c>
      <c r="T226">
        <v>1</v>
      </c>
      <c r="U226">
        <v>1</v>
      </c>
      <c r="V226">
        <v>1</v>
      </c>
      <c r="W226">
        <v>0</v>
      </c>
      <c r="X226">
        <v>1</v>
      </c>
      <c r="Y226" s="15">
        <v>5.2465753424657535</v>
      </c>
      <c r="Z226">
        <v>150</v>
      </c>
      <c r="AA226">
        <v>73</v>
      </c>
      <c r="AB226" s="25">
        <v>9.4166666666666661</v>
      </c>
      <c r="AC226" s="25">
        <v>13.083333333333332</v>
      </c>
      <c r="AD226" s="25">
        <v>3.6666666666666661</v>
      </c>
      <c r="AE226" s="25">
        <f>Table3[[#This Row],[flies_out]]/Table3[[#This Row],[flies_in]]</f>
        <v>0.48666666666666669</v>
      </c>
    </row>
    <row r="227" spans="1:31" x14ac:dyDescent="0.35">
      <c r="A227" s="16">
        <v>13</v>
      </c>
      <c r="B227" s="16" t="s">
        <v>118</v>
      </c>
      <c r="C227" s="16">
        <v>1</v>
      </c>
      <c r="D227" s="17" t="s">
        <v>106</v>
      </c>
      <c r="E227" s="16" t="s">
        <v>3</v>
      </c>
      <c r="F227" s="16">
        <v>2</v>
      </c>
      <c r="G227" s="16" t="s">
        <v>112</v>
      </c>
      <c r="H227" s="11" t="s">
        <v>2</v>
      </c>
      <c r="I227">
        <v>4</v>
      </c>
      <c r="J227">
        <v>3</v>
      </c>
      <c r="K227">
        <v>3</v>
      </c>
      <c r="L227">
        <v>0</v>
      </c>
      <c r="M227">
        <v>10</v>
      </c>
      <c r="N227">
        <v>3</v>
      </c>
      <c r="O227">
        <v>4</v>
      </c>
      <c r="P227">
        <v>6</v>
      </c>
      <c r="Q227">
        <v>3</v>
      </c>
      <c r="R227">
        <v>6</v>
      </c>
      <c r="S227">
        <v>14</v>
      </c>
      <c r="T227">
        <v>3</v>
      </c>
      <c r="U227">
        <v>9</v>
      </c>
      <c r="V227">
        <v>3</v>
      </c>
      <c r="W227">
        <v>9</v>
      </c>
      <c r="X227">
        <v>9</v>
      </c>
      <c r="Y227" s="15">
        <v>9.8651685393258433</v>
      </c>
      <c r="Z227">
        <v>150</v>
      </c>
      <c r="AA227">
        <v>89</v>
      </c>
      <c r="AB227" s="25">
        <v>13.583333333333332</v>
      </c>
      <c r="AC227" s="25">
        <v>17.566666666666666</v>
      </c>
      <c r="AD227" s="25">
        <v>3.9833333333333343</v>
      </c>
      <c r="AE227" s="25">
        <f>Table3[[#This Row],[flies_out]]/Table3[[#This Row],[flies_in]]</f>
        <v>0.59333333333333338</v>
      </c>
    </row>
    <row r="228" spans="1:31" x14ac:dyDescent="0.35">
      <c r="A228" s="16">
        <v>13</v>
      </c>
      <c r="B228" s="16" t="s">
        <v>118</v>
      </c>
      <c r="C228" s="16">
        <v>1</v>
      </c>
      <c r="D228" s="17" t="s">
        <v>106</v>
      </c>
      <c r="E228" s="16" t="s">
        <v>3</v>
      </c>
      <c r="F228" s="16">
        <v>2</v>
      </c>
      <c r="G228" s="16" t="s">
        <v>113</v>
      </c>
      <c r="H228" s="11" t="s">
        <v>0</v>
      </c>
      <c r="I228">
        <v>9</v>
      </c>
      <c r="J228">
        <v>15</v>
      </c>
      <c r="K228">
        <v>11</v>
      </c>
      <c r="L228">
        <v>5</v>
      </c>
      <c r="M228">
        <v>7</v>
      </c>
      <c r="N228">
        <v>8</v>
      </c>
      <c r="O228">
        <v>9</v>
      </c>
      <c r="P228">
        <v>12</v>
      </c>
      <c r="Q228">
        <v>7</v>
      </c>
      <c r="R228">
        <v>5</v>
      </c>
      <c r="S228">
        <v>3</v>
      </c>
      <c r="T228">
        <v>3</v>
      </c>
      <c r="U228">
        <v>2</v>
      </c>
      <c r="V228">
        <v>1</v>
      </c>
      <c r="W228">
        <v>1</v>
      </c>
      <c r="X228">
        <v>4</v>
      </c>
      <c r="Y228" s="15">
        <v>6.2254901960784315</v>
      </c>
      <c r="Z228">
        <v>150</v>
      </c>
      <c r="AA228">
        <v>102</v>
      </c>
      <c r="AB228" s="25">
        <v>13.583333333333332</v>
      </c>
      <c r="AC228" s="25">
        <v>17.683333333333334</v>
      </c>
      <c r="AD228" s="25">
        <v>4.1000000000000014</v>
      </c>
      <c r="AE228" s="25">
        <f>Table3[[#This Row],[flies_out]]/Table3[[#This Row],[flies_in]]</f>
        <v>0.68</v>
      </c>
    </row>
    <row r="229" spans="1:31" x14ac:dyDescent="0.35">
      <c r="A229" s="16">
        <v>13</v>
      </c>
      <c r="B229" s="16" t="s">
        <v>118</v>
      </c>
      <c r="C229" s="16">
        <v>1</v>
      </c>
      <c r="D229" s="17" t="s">
        <v>106</v>
      </c>
      <c r="E229" s="16" t="s">
        <v>3</v>
      </c>
      <c r="F229" s="16">
        <v>2</v>
      </c>
      <c r="G229" s="16" t="s">
        <v>1</v>
      </c>
      <c r="H229" s="11" t="s">
        <v>0</v>
      </c>
      <c r="I229">
        <v>19</v>
      </c>
      <c r="J229">
        <v>18</v>
      </c>
      <c r="K229">
        <v>27</v>
      </c>
      <c r="L229">
        <v>7</v>
      </c>
      <c r="M229">
        <v>7</v>
      </c>
      <c r="N229">
        <v>11</v>
      </c>
      <c r="O229">
        <v>3</v>
      </c>
      <c r="P229">
        <v>6</v>
      </c>
      <c r="Q229">
        <v>15</v>
      </c>
      <c r="R229">
        <v>1</v>
      </c>
      <c r="S229">
        <v>2</v>
      </c>
      <c r="T229">
        <v>0</v>
      </c>
      <c r="U229">
        <v>2</v>
      </c>
      <c r="V229">
        <v>1</v>
      </c>
      <c r="W229">
        <v>1</v>
      </c>
      <c r="X229">
        <v>1</v>
      </c>
      <c r="Y229" s="15">
        <v>4.7272727272727275</v>
      </c>
      <c r="Z229">
        <v>150</v>
      </c>
      <c r="AA229">
        <v>121</v>
      </c>
      <c r="AB229" s="25">
        <v>13.583333333333332</v>
      </c>
      <c r="AC229" s="25">
        <v>17.766666666666666</v>
      </c>
      <c r="AD229" s="25">
        <v>4.1833333333333336</v>
      </c>
      <c r="AE229" s="25">
        <f>Table3[[#This Row],[flies_out]]/Table3[[#This Row],[flies_in]]</f>
        <v>0.80666666666666664</v>
      </c>
    </row>
    <row r="230" spans="1:31" x14ac:dyDescent="0.35">
      <c r="A230" s="16">
        <v>13</v>
      </c>
      <c r="B230" s="16" t="s">
        <v>118</v>
      </c>
      <c r="C230" s="16">
        <v>1</v>
      </c>
      <c r="D230" s="17" t="s">
        <v>106</v>
      </c>
      <c r="E230" s="16" t="s">
        <v>3</v>
      </c>
      <c r="F230" s="16">
        <v>2</v>
      </c>
      <c r="G230" s="16" t="s">
        <v>114</v>
      </c>
      <c r="H230" s="11" t="s">
        <v>2</v>
      </c>
      <c r="I230">
        <v>13</v>
      </c>
      <c r="J230">
        <v>10</v>
      </c>
      <c r="K230">
        <v>10</v>
      </c>
      <c r="L230">
        <v>11</v>
      </c>
      <c r="M230" t="s">
        <v>69</v>
      </c>
      <c r="N230">
        <v>3</v>
      </c>
      <c r="O230">
        <v>6</v>
      </c>
      <c r="P230">
        <v>4</v>
      </c>
      <c r="Q230">
        <v>5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 s="15">
        <v>4.0952380952380949</v>
      </c>
      <c r="Z230">
        <v>150</v>
      </c>
      <c r="AA230">
        <v>63</v>
      </c>
      <c r="AB230" s="25">
        <v>13.583333333333332</v>
      </c>
      <c r="AC230" s="25">
        <v>17.883333333333333</v>
      </c>
      <c r="AD230" s="25">
        <v>4.3000000000000007</v>
      </c>
      <c r="AE230" s="25">
        <f>Table3[[#This Row],[flies_out]]/Table3[[#This Row],[flies_in]]</f>
        <v>0.42</v>
      </c>
    </row>
    <row r="231" spans="1:31" x14ac:dyDescent="0.35">
      <c r="A231" s="16">
        <v>13</v>
      </c>
      <c r="B231" s="16" t="s">
        <v>117</v>
      </c>
      <c r="C231">
        <v>2</v>
      </c>
      <c r="D231" s="17" t="s">
        <v>104</v>
      </c>
      <c r="E231" s="16" t="s">
        <v>3</v>
      </c>
      <c r="F231">
        <v>3</v>
      </c>
      <c r="G231" s="16" t="s">
        <v>112</v>
      </c>
      <c r="H231" s="11" t="s">
        <v>2</v>
      </c>
      <c r="I231">
        <v>2</v>
      </c>
      <c r="J231">
        <v>1</v>
      </c>
      <c r="K231">
        <v>0</v>
      </c>
      <c r="L231">
        <v>1</v>
      </c>
      <c r="M231">
        <v>6</v>
      </c>
      <c r="N231">
        <v>4</v>
      </c>
      <c r="O231">
        <v>4</v>
      </c>
      <c r="P231">
        <v>4</v>
      </c>
      <c r="Q231">
        <v>4</v>
      </c>
      <c r="R231">
        <v>9</v>
      </c>
      <c r="S231">
        <v>16</v>
      </c>
      <c r="T231">
        <v>2</v>
      </c>
      <c r="U231">
        <v>2</v>
      </c>
      <c r="V231">
        <v>3</v>
      </c>
      <c r="W231">
        <v>13</v>
      </c>
      <c r="X231">
        <v>13</v>
      </c>
      <c r="Y231" s="15">
        <v>10.94047619047619</v>
      </c>
      <c r="Z231">
        <v>120</v>
      </c>
      <c r="AA231">
        <v>84</v>
      </c>
      <c r="AB231" s="25">
        <v>9.5166666666666657</v>
      </c>
      <c r="AC231" s="25">
        <v>12.666666666666668</v>
      </c>
      <c r="AD231" s="25">
        <v>3.1500000000000021</v>
      </c>
      <c r="AE231" s="25">
        <f>Table3[[#This Row],[flies_out]]/Table3[[#This Row],[flies_in]]</f>
        <v>0.7</v>
      </c>
    </row>
    <row r="232" spans="1:31" x14ac:dyDescent="0.35">
      <c r="A232" s="16">
        <v>13</v>
      </c>
      <c r="B232" s="16" t="s">
        <v>117</v>
      </c>
      <c r="C232">
        <v>2</v>
      </c>
      <c r="D232" s="17" t="s">
        <v>104</v>
      </c>
      <c r="E232" s="16" t="s">
        <v>3</v>
      </c>
      <c r="F232">
        <v>3</v>
      </c>
      <c r="G232" s="16" t="s">
        <v>113</v>
      </c>
      <c r="H232" s="11" t="s">
        <v>0</v>
      </c>
      <c r="I232">
        <v>2</v>
      </c>
      <c r="J232">
        <v>4</v>
      </c>
      <c r="K232">
        <v>0</v>
      </c>
      <c r="L232">
        <v>3</v>
      </c>
      <c r="M232">
        <v>3</v>
      </c>
      <c r="N232">
        <v>4</v>
      </c>
      <c r="O232">
        <v>4</v>
      </c>
      <c r="P232">
        <v>2</v>
      </c>
      <c r="Q232">
        <v>4</v>
      </c>
      <c r="R232">
        <v>3</v>
      </c>
      <c r="S232">
        <v>5</v>
      </c>
      <c r="T232">
        <v>7</v>
      </c>
      <c r="U232">
        <v>7</v>
      </c>
      <c r="V232">
        <v>3</v>
      </c>
      <c r="W232">
        <v>0</v>
      </c>
      <c r="X232">
        <v>0</v>
      </c>
      <c r="Y232" s="15">
        <v>8.6862745098039209</v>
      </c>
      <c r="Z232">
        <v>100</v>
      </c>
      <c r="AA232">
        <v>51</v>
      </c>
      <c r="AB232" s="25">
        <v>9.5166666666666657</v>
      </c>
      <c r="AC232" s="25">
        <v>12.75</v>
      </c>
      <c r="AD232" s="25">
        <v>3.2333333333333343</v>
      </c>
      <c r="AE232" s="25">
        <f>Table3[[#This Row],[flies_out]]/Table3[[#This Row],[flies_in]]</f>
        <v>0.51</v>
      </c>
    </row>
    <row r="233" spans="1:31" x14ac:dyDescent="0.35">
      <c r="A233" s="16">
        <v>13</v>
      </c>
      <c r="B233" s="16" t="s">
        <v>117</v>
      </c>
      <c r="C233">
        <v>2</v>
      </c>
      <c r="D233" s="17" t="s">
        <v>104</v>
      </c>
      <c r="E233" s="16" t="s">
        <v>3</v>
      </c>
      <c r="F233">
        <v>3</v>
      </c>
      <c r="G233" s="16" t="s">
        <v>1</v>
      </c>
      <c r="H233" s="11" t="s">
        <v>0</v>
      </c>
      <c r="I233">
        <v>7</v>
      </c>
      <c r="J233">
        <v>16</v>
      </c>
      <c r="K233">
        <v>17</v>
      </c>
      <c r="L233">
        <v>1</v>
      </c>
      <c r="M233">
        <v>2</v>
      </c>
      <c r="N233">
        <v>7</v>
      </c>
      <c r="O233">
        <v>3</v>
      </c>
      <c r="P233">
        <v>1</v>
      </c>
      <c r="Q233">
        <v>14</v>
      </c>
      <c r="R233">
        <v>5</v>
      </c>
      <c r="S233">
        <v>7</v>
      </c>
      <c r="T233">
        <v>0</v>
      </c>
      <c r="U233">
        <v>0</v>
      </c>
      <c r="V233">
        <v>0</v>
      </c>
      <c r="W233">
        <v>0</v>
      </c>
      <c r="X233">
        <v>0</v>
      </c>
      <c r="Y233" s="15">
        <v>5.35</v>
      </c>
      <c r="Z233">
        <v>80</v>
      </c>
      <c r="AA233">
        <v>80</v>
      </c>
      <c r="AB233" s="25">
        <v>9.5166666666666657</v>
      </c>
      <c r="AC233" s="25">
        <v>12.85</v>
      </c>
      <c r="AD233" s="25">
        <v>3.3333333333333339</v>
      </c>
      <c r="AE233" s="25">
        <f>Table3[[#This Row],[flies_out]]/Table3[[#This Row],[flies_in]]</f>
        <v>1</v>
      </c>
    </row>
    <row r="234" spans="1:31" x14ac:dyDescent="0.35">
      <c r="A234" s="16">
        <v>13</v>
      </c>
      <c r="B234" s="16" t="s">
        <v>117</v>
      </c>
      <c r="C234">
        <v>2</v>
      </c>
      <c r="D234" s="17" t="s">
        <v>104</v>
      </c>
      <c r="E234" s="16" t="s">
        <v>3</v>
      </c>
      <c r="F234">
        <v>3</v>
      </c>
      <c r="G234" s="16" t="s">
        <v>114</v>
      </c>
      <c r="H234" s="11" t="s">
        <v>2</v>
      </c>
      <c r="I234">
        <v>4</v>
      </c>
      <c r="J234">
        <v>4</v>
      </c>
      <c r="K234">
        <v>2</v>
      </c>
      <c r="L234">
        <v>6</v>
      </c>
      <c r="M234">
        <v>5</v>
      </c>
      <c r="N234">
        <v>6</v>
      </c>
      <c r="O234">
        <v>5</v>
      </c>
      <c r="P234">
        <v>8</v>
      </c>
      <c r="Q234">
        <v>8</v>
      </c>
      <c r="R234">
        <v>2</v>
      </c>
      <c r="S234">
        <v>6</v>
      </c>
      <c r="T234">
        <v>3</v>
      </c>
      <c r="U234">
        <v>3</v>
      </c>
      <c r="V234">
        <v>4</v>
      </c>
      <c r="W234">
        <v>1</v>
      </c>
      <c r="X234">
        <v>0</v>
      </c>
      <c r="Y234" s="15">
        <v>7.5522388059701493</v>
      </c>
      <c r="Z234">
        <v>100</v>
      </c>
      <c r="AA234">
        <v>67</v>
      </c>
      <c r="AB234" s="25">
        <v>9.5166666666666657</v>
      </c>
      <c r="AC234" s="25">
        <v>12.933333333333334</v>
      </c>
      <c r="AD234" s="25">
        <v>3.4166666666666679</v>
      </c>
      <c r="AE234" s="25">
        <f>Table3[[#This Row],[flies_out]]/Table3[[#This Row],[flies_in]]</f>
        <v>0.67</v>
      </c>
    </row>
    <row r="235" spans="1:31" x14ac:dyDescent="0.35">
      <c r="A235" s="16">
        <v>13</v>
      </c>
      <c r="B235" s="16" t="s">
        <v>118</v>
      </c>
      <c r="C235">
        <v>2</v>
      </c>
      <c r="D235" s="17" t="s">
        <v>106</v>
      </c>
      <c r="E235" s="16" t="s">
        <v>3</v>
      </c>
      <c r="F235">
        <v>4</v>
      </c>
      <c r="G235" s="16" t="s">
        <v>112</v>
      </c>
      <c r="H235" s="11" t="s">
        <v>2</v>
      </c>
      <c r="I235">
        <v>5</v>
      </c>
      <c r="J235">
        <v>4</v>
      </c>
      <c r="K235">
        <v>7</v>
      </c>
      <c r="L235">
        <v>0</v>
      </c>
      <c r="M235">
        <v>6</v>
      </c>
      <c r="N235">
        <v>1</v>
      </c>
      <c r="O235">
        <v>1</v>
      </c>
      <c r="P235">
        <v>2</v>
      </c>
      <c r="Q235">
        <v>3</v>
      </c>
      <c r="R235">
        <v>1</v>
      </c>
      <c r="S235">
        <v>3</v>
      </c>
      <c r="T235">
        <v>0</v>
      </c>
      <c r="U235">
        <v>1</v>
      </c>
      <c r="V235">
        <v>2</v>
      </c>
      <c r="W235">
        <v>6</v>
      </c>
      <c r="X235">
        <v>0</v>
      </c>
      <c r="Y235" s="15">
        <v>7</v>
      </c>
      <c r="Z235">
        <v>125</v>
      </c>
      <c r="AA235">
        <v>42</v>
      </c>
      <c r="AB235" s="25">
        <v>13.416666666666668</v>
      </c>
      <c r="AC235" s="25">
        <v>16.600000000000001</v>
      </c>
      <c r="AD235" s="25">
        <v>3.1833333333333336</v>
      </c>
      <c r="AE235" s="25">
        <f>Table3[[#This Row],[flies_out]]/Table3[[#This Row],[flies_in]]</f>
        <v>0.33600000000000002</v>
      </c>
    </row>
    <row r="236" spans="1:31" x14ac:dyDescent="0.35">
      <c r="A236" s="16">
        <v>13</v>
      </c>
      <c r="B236" s="16" t="s">
        <v>118</v>
      </c>
      <c r="C236">
        <v>2</v>
      </c>
      <c r="D236" s="17" t="s">
        <v>106</v>
      </c>
      <c r="E236" s="16" t="s">
        <v>3</v>
      </c>
      <c r="F236">
        <v>4</v>
      </c>
      <c r="G236" s="16" t="s">
        <v>113</v>
      </c>
      <c r="H236" s="11" t="s">
        <v>0</v>
      </c>
      <c r="I236">
        <v>6</v>
      </c>
      <c r="J236">
        <v>3</v>
      </c>
      <c r="K236">
        <v>1</v>
      </c>
      <c r="L236">
        <v>4</v>
      </c>
      <c r="M236">
        <v>10</v>
      </c>
      <c r="N236">
        <v>6</v>
      </c>
      <c r="O236">
        <v>7</v>
      </c>
      <c r="P236">
        <v>7</v>
      </c>
      <c r="Q236">
        <v>12</v>
      </c>
      <c r="R236">
        <v>6</v>
      </c>
      <c r="S236">
        <v>7</v>
      </c>
      <c r="T236">
        <v>7</v>
      </c>
      <c r="U236">
        <v>7</v>
      </c>
      <c r="V236">
        <v>2</v>
      </c>
      <c r="W236">
        <v>1</v>
      </c>
      <c r="X236">
        <v>0</v>
      </c>
      <c r="Y236" s="15">
        <v>7.9651162790697674</v>
      </c>
      <c r="Z236">
        <v>100</v>
      </c>
      <c r="AA236">
        <v>86</v>
      </c>
      <c r="AB236" s="25">
        <v>13.416666666666668</v>
      </c>
      <c r="AC236" s="25">
        <v>16.649999999999999</v>
      </c>
      <c r="AD236" s="25">
        <v>3.2333333333333307</v>
      </c>
      <c r="AE236" s="25">
        <f>Table3[[#This Row],[flies_out]]/Table3[[#This Row],[flies_in]]</f>
        <v>0.86</v>
      </c>
    </row>
    <row r="237" spans="1:31" x14ac:dyDescent="0.35">
      <c r="A237" s="16">
        <v>13</v>
      </c>
      <c r="B237" s="16" t="s">
        <v>118</v>
      </c>
      <c r="C237">
        <v>2</v>
      </c>
      <c r="D237" s="17" t="s">
        <v>106</v>
      </c>
      <c r="E237" s="16" t="s">
        <v>3</v>
      </c>
      <c r="F237">
        <v>4</v>
      </c>
      <c r="G237" s="16" t="s">
        <v>1</v>
      </c>
      <c r="H237" s="11" t="s">
        <v>0</v>
      </c>
      <c r="I237">
        <v>28</v>
      </c>
      <c r="J237">
        <v>22</v>
      </c>
      <c r="K237">
        <v>27</v>
      </c>
      <c r="L237">
        <v>1</v>
      </c>
      <c r="M237">
        <v>3</v>
      </c>
      <c r="N237">
        <v>13</v>
      </c>
      <c r="O237">
        <v>11</v>
      </c>
      <c r="P237">
        <v>4</v>
      </c>
      <c r="Q237">
        <v>7</v>
      </c>
      <c r="R237">
        <v>2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 s="15">
        <v>3.8235294117647061</v>
      </c>
      <c r="Z237">
        <v>125</v>
      </c>
      <c r="AA237">
        <v>119</v>
      </c>
      <c r="AB237" s="25">
        <v>13.416666666666668</v>
      </c>
      <c r="AC237" s="25">
        <v>16.75</v>
      </c>
      <c r="AD237" s="25">
        <v>3.3333333333333321</v>
      </c>
      <c r="AE237" s="25">
        <f>Table3[[#This Row],[flies_out]]/Table3[[#This Row],[flies_in]]</f>
        <v>0.95199999999999996</v>
      </c>
    </row>
    <row r="238" spans="1:31" x14ac:dyDescent="0.35">
      <c r="A238" s="16">
        <v>13</v>
      </c>
      <c r="B238" s="16" t="s">
        <v>118</v>
      </c>
      <c r="C238">
        <v>2</v>
      </c>
      <c r="D238" s="17" t="s">
        <v>106</v>
      </c>
      <c r="E238" s="16" t="s">
        <v>3</v>
      </c>
      <c r="F238">
        <v>4</v>
      </c>
      <c r="G238" s="16" t="s">
        <v>114</v>
      </c>
      <c r="H238" s="11" t="s">
        <v>2</v>
      </c>
      <c r="I238">
        <v>21</v>
      </c>
      <c r="J238">
        <v>3</v>
      </c>
      <c r="K238">
        <v>4</v>
      </c>
      <c r="L238">
        <v>6</v>
      </c>
      <c r="M238">
        <v>4</v>
      </c>
      <c r="N238">
        <v>4</v>
      </c>
      <c r="O238">
        <v>1</v>
      </c>
      <c r="P238">
        <v>2</v>
      </c>
      <c r="Q238">
        <v>4</v>
      </c>
      <c r="R238">
        <v>0</v>
      </c>
      <c r="S238">
        <v>0</v>
      </c>
      <c r="T238">
        <v>1</v>
      </c>
      <c r="U238">
        <v>0</v>
      </c>
      <c r="V238">
        <v>2</v>
      </c>
      <c r="W238">
        <v>1</v>
      </c>
      <c r="X238">
        <v>1</v>
      </c>
      <c r="Y238" s="15">
        <v>4.3888888888888893</v>
      </c>
      <c r="Z238">
        <v>150</v>
      </c>
      <c r="AA238">
        <v>54</v>
      </c>
      <c r="AB238" s="25">
        <v>13.416666666666668</v>
      </c>
      <c r="AC238" s="25">
        <v>16.866666666666667</v>
      </c>
      <c r="AD238" s="25">
        <v>3.4499999999999993</v>
      </c>
      <c r="AE238" s="25">
        <f>Table3[[#This Row],[flies_out]]/Table3[[#This Row],[flies_in]]</f>
        <v>0.36</v>
      </c>
    </row>
    <row r="239" spans="1:31" x14ac:dyDescent="0.35">
      <c r="A239" s="16">
        <v>14</v>
      </c>
      <c r="B239" s="16" t="s">
        <v>117</v>
      </c>
      <c r="C239" s="16">
        <v>1</v>
      </c>
      <c r="D239" s="17" t="s">
        <v>104</v>
      </c>
      <c r="E239" s="16" t="s">
        <v>3</v>
      </c>
      <c r="F239" s="16">
        <v>2</v>
      </c>
      <c r="G239" s="16" t="s">
        <v>112</v>
      </c>
      <c r="H239" s="11" t="s">
        <v>0</v>
      </c>
      <c r="I239">
        <v>5</v>
      </c>
      <c r="J239">
        <v>7</v>
      </c>
      <c r="K239">
        <v>7</v>
      </c>
      <c r="L239">
        <v>1</v>
      </c>
      <c r="M239">
        <v>7</v>
      </c>
      <c r="N239">
        <v>9</v>
      </c>
      <c r="O239">
        <v>5</v>
      </c>
      <c r="P239">
        <v>11</v>
      </c>
      <c r="Q239">
        <v>9</v>
      </c>
      <c r="R239">
        <v>4</v>
      </c>
      <c r="S239">
        <v>8</v>
      </c>
      <c r="T239">
        <v>2</v>
      </c>
      <c r="U239">
        <v>1</v>
      </c>
      <c r="V239">
        <v>1</v>
      </c>
      <c r="W239">
        <v>3</v>
      </c>
      <c r="X239">
        <v>6</v>
      </c>
      <c r="Y239" s="15">
        <v>7.6395348837209305</v>
      </c>
      <c r="Z239">
        <v>150</v>
      </c>
      <c r="AA239">
        <v>86</v>
      </c>
      <c r="AB239" s="25">
        <v>9.75</v>
      </c>
      <c r="AC239" s="25">
        <v>12.483333333333334</v>
      </c>
      <c r="AD239" s="25">
        <v>2.7333333333333343</v>
      </c>
      <c r="AE239" s="25">
        <f>Table3[[#This Row],[flies_out]]/Table3[[#This Row],[flies_in]]</f>
        <v>0.57333333333333336</v>
      </c>
    </row>
    <row r="240" spans="1:31" x14ac:dyDescent="0.35">
      <c r="A240" s="16">
        <v>14</v>
      </c>
      <c r="B240" s="16" t="s">
        <v>117</v>
      </c>
      <c r="C240" s="16">
        <v>1</v>
      </c>
      <c r="D240" s="17" t="s">
        <v>104</v>
      </c>
      <c r="E240" s="16" t="s">
        <v>3</v>
      </c>
      <c r="F240" s="16">
        <v>2</v>
      </c>
      <c r="G240" s="16" t="s">
        <v>113</v>
      </c>
      <c r="H240" s="11" t="s">
        <v>2</v>
      </c>
      <c r="I240">
        <v>5</v>
      </c>
      <c r="J240">
        <v>2</v>
      </c>
      <c r="K240">
        <v>4</v>
      </c>
      <c r="L240">
        <v>1</v>
      </c>
      <c r="M240">
        <v>2</v>
      </c>
      <c r="N240">
        <v>2</v>
      </c>
      <c r="O240">
        <v>9</v>
      </c>
      <c r="P240">
        <v>13</v>
      </c>
      <c r="Q240">
        <v>9</v>
      </c>
      <c r="R240">
        <v>11</v>
      </c>
      <c r="S240">
        <v>6</v>
      </c>
      <c r="T240">
        <v>7</v>
      </c>
      <c r="U240">
        <v>6</v>
      </c>
      <c r="V240">
        <v>3</v>
      </c>
      <c r="W240">
        <v>1</v>
      </c>
      <c r="X240">
        <v>3</v>
      </c>
      <c r="Y240" s="15">
        <v>8.7857142857142865</v>
      </c>
      <c r="Z240">
        <v>150</v>
      </c>
      <c r="AA240">
        <v>84</v>
      </c>
      <c r="AB240" s="25">
        <v>9.75</v>
      </c>
      <c r="AC240" s="25">
        <v>12.600000000000001</v>
      </c>
      <c r="AD240" s="25">
        <v>2.8500000000000014</v>
      </c>
      <c r="AE240" s="25">
        <f>Table3[[#This Row],[flies_out]]/Table3[[#This Row],[flies_in]]</f>
        <v>0.56000000000000005</v>
      </c>
    </row>
    <row r="241" spans="1:31" x14ac:dyDescent="0.35">
      <c r="A241" s="16">
        <v>14</v>
      </c>
      <c r="B241" s="16" t="s">
        <v>117</v>
      </c>
      <c r="C241" s="16">
        <v>1</v>
      </c>
      <c r="D241" s="17" t="s">
        <v>104</v>
      </c>
      <c r="E241" s="16" t="s">
        <v>3</v>
      </c>
      <c r="F241" s="16">
        <v>2</v>
      </c>
      <c r="G241" s="16" t="s">
        <v>1</v>
      </c>
      <c r="H241" s="11" t="s">
        <v>2</v>
      </c>
      <c r="I241">
        <v>15</v>
      </c>
      <c r="J241">
        <v>13</v>
      </c>
      <c r="K241">
        <v>19</v>
      </c>
      <c r="L241">
        <v>1</v>
      </c>
      <c r="M241">
        <v>6</v>
      </c>
      <c r="N241">
        <v>17</v>
      </c>
      <c r="O241">
        <v>3</v>
      </c>
      <c r="P241">
        <v>9</v>
      </c>
      <c r="Q241">
        <v>19</v>
      </c>
      <c r="R241">
        <v>6</v>
      </c>
      <c r="S241">
        <v>7</v>
      </c>
      <c r="T241">
        <v>2</v>
      </c>
      <c r="U241">
        <v>2</v>
      </c>
      <c r="V241">
        <v>0</v>
      </c>
      <c r="W241">
        <v>0</v>
      </c>
      <c r="X241">
        <v>0</v>
      </c>
      <c r="Y241" s="15">
        <v>5.7563025210084033</v>
      </c>
      <c r="Z241">
        <v>150</v>
      </c>
      <c r="AA241">
        <v>119</v>
      </c>
      <c r="AB241" s="25">
        <v>9.75</v>
      </c>
      <c r="AC241" s="25">
        <v>12.683333333333334</v>
      </c>
      <c r="AD241" s="25">
        <v>2.9333333333333336</v>
      </c>
      <c r="AE241" s="25">
        <f>Table3[[#This Row],[flies_out]]/Table3[[#This Row],[flies_in]]</f>
        <v>0.79333333333333333</v>
      </c>
    </row>
    <row r="242" spans="1:31" x14ac:dyDescent="0.35">
      <c r="A242" s="16">
        <v>14</v>
      </c>
      <c r="B242" s="16" t="s">
        <v>117</v>
      </c>
      <c r="C242" s="16">
        <v>1</v>
      </c>
      <c r="D242" s="17" t="s">
        <v>104</v>
      </c>
      <c r="E242" s="16" t="s">
        <v>3</v>
      </c>
      <c r="F242" s="16">
        <v>2</v>
      </c>
      <c r="G242" s="16" t="s">
        <v>114</v>
      </c>
      <c r="H242" s="11" t="s">
        <v>0</v>
      </c>
      <c r="I242">
        <v>11</v>
      </c>
      <c r="J242">
        <v>15</v>
      </c>
      <c r="K242">
        <v>11</v>
      </c>
      <c r="L242">
        <v>11</v>
      </c>
      <c r="M242">
        <v>11</v>
      </c>
      <c r="N242">
        <v>10</v>
      </c>
      <c r="O242">
        <v>9</v>
      </c>
      <c r="P242">
        <v>8</v>
      </c>
      <c r="Q242">
        <v>8</v>
      </c>
      <c r="R242">
        <v>0</v>
      </c>
      <c r="S242">
        <v>8</v>
      </c>
      <c r="T242">
        <v>1</v>
      </c>
      <c r="U242">
        <v>1</v>
      </c>
      <c r="V242">
        <v>0</v>
      </c>
      <c r="W242">
        <v>0</v>
      </c>
      <c r="X242">
        <v>0</v>
      </c>
      <c r="Y242" s="15">
        <v>5.240384615384615</v>
      </c>
      <c r="Z242">
        <v>150</v>
      </c>
      <c r="AA242">
        <v>104</v>
      </c>
      <c r="AB242" s="25">
        <v>9.75</v>
      </c>
      <c r="AC242" s="25">
        <v>12.8</v>
      </c>
      <c r="AD242" s="25">
        <v>3.0500000000000007</v>
      </c>
      <c r="AE242" s="25">
        <f>Table3[[#This Row],[flies_out]]/Table3[[#This Row],[flies_in]]</f>
        <v>0.69333333333333336</v>
      </c>
    </row>
    <row r="243" spans="1:31" x14ac:dyDescent="0.35">
      <c r="A243" s="16">
        <v>14</v>
      </c>
      <c r="B243" s="16" t="s">
        <v>118</v>
      </c>
      <c r="C243" s="16">
        <v>1</v>
      </c>
      <c r="D243" s="17" t="s">
        <v>106</v>
      </c>
      <c r="E243" s="16" t="s">
        <v>3</v>
      </c>
      <c r="F243" s="16">
        <v>1</v>
      </c>
      <c r="G243" s="16" t="s">
        <v>112</v>
      </c>
      <c r="H243" s="11" t="s">
        <v>0</v>
      </c>
      <c r="I243">
        <v>10</v>
      </c>
      <c r="J243">
        <v>3</v>
      </c>
      <c r="K243">
        <v>12</v>
      </c>
      <c r="L243">
        <v>1</v>
      </c>
      <c r="M243">
        <v>17</v>
      </c>
      <c r="N243">
        <v>8</v>
      </c>
      <c r="O243">
        <v>5</v>
      </c>
      <c r="P243">
        <v>12</v>
      </c>
      <c r="Q243">
        <v>6</v>
      </c>
      <c r="R243">
        <v>13</v>
      </c>
      <c r="S243">
        <v>5</v>
      </c>
      <c r="T243">
        <v>1</v>
      </c>
      <c r="U243">
        <v>6</v>
      </c>
      <c r="V243">
        <v>3</v>
      </c>
      <c r="W243">
        <v>7</v>
      </c>
      <c r="X243">
        <v>10</v>
      </c>
      <c r="Y243" s="15">
        <v>8.0336134453781511</v>
      </c>
      <c r="Z243">
        <v>150</v>
      </c>
      <c r="AA243">
        <v>119</v>
      </c>
      <c r="AB243" s="25">
        <v>13.25</v>
      </c>
      <c r="AC243" s="25">
        <v>16.633333333333333</v>
      </c>
      <c r="AD243" s="25">
        <v>3.3833333333333329</v>
      </c>
      <c r="AE243" s="25">
        <f>Table3[[#This Row],[flies_out]]/Table3[[#This Row],[flies_in]]</f>
        <v>0.79333333333333333</v>
      </c>
    </row>
    <row r="244" spans="1:31" x14ac:dyDescent="0.35">
      <c r="A244" s="16">
        <v>14</v>
      </c>
      <c r="B244" s="16" t="s">
        <v>118</v>
      </c>
      <c r="C244" s="16">
        <v>1</v>
      </c>
      <c r="D244" s="17" t="s">
        <v>106</v>
      </c>
      <c r="E244" s="16" t="s">
        <v>3</v>
      </c>
      <c r="F244" s="16">
        <v>1</v>
      </c>
      <c r="G244" s="16" t="s">
        <v>113</v>
      </c>
      <c r="H244" s="11" t="s">
        <v>2</v>
      </c>
      <c r="I244">
        <v>14</v>
      </c>
      <c r="J244">
        <v>4</v>
      </c>
      <c r="K244">
        <v>5</v>
      </c>
      <c r="L244">
        <v>5</v>
      </c>
      <c r="M244">
        <v>0</v>
      </c>
      <c r="N244">
        <v>1</v>
      </c>
      <c r="O244">
        <v>7</v>
      </c>
      <c r="P244">
        <v>9</v>
      </c>
      <c r="Q244">
        <v>5</v>
      </c>
      <c r="R244">
        <v>5</v>
      </c>
      <c r="S244">
        <v>0</v>
      </c>
      <c r="T244">
        <v>1</v>
      </c>
      <c r="U244">
        <v>5</v>
      </c>
      <c r="V244">
        <v>3</v>
      </c>
      <c r="W244">
        <v>1</v>
      </c>
      <c r="X244">
        <v>0</v>
      </c>
      <c r="Y244" s="15">
        <v>6.3538461538461535</v>
      </c>
      <c r="Z244">
        <v>150</v>
      </c>
      <c r="AA244">
        <v>65</v>
      </c>
      <c r="AB244" s="25">
        <v>13.25</v>
      </c>
      <c r="AC244" s="25">
        <v>16.75</v>
      </c>
      <c r="AD244" s="25">
        <v>3.5</v>
      </c>
      <c r="AE244" s="25">
        <f>Table3[[#This Row],[flies_out]]/Table3[[#This Row],[flies_in]]</f>
        <v>0.43333333333333335</v>
      </c>
    </row>
    <row r="245" spans="1:31" x14ac:dyDescent="0.35">
      <c r="A245" s="16">
        <v>14</v>
      </c>
      <c r="B245" s="16" t="s">
        <v>118</v>
      </c>
      <c r="C245" s="16">
        <v>1</v>
      </c>
      <c r="D245" s="17" t="s">
        <v>106</v>
      </c>
      <c r="E245" s="16" t="s">
        <v>3</v>
      </c>
      <c r="F245" s="16">
        <v>1</v>
      </c>
      <c r="G245" s="16" t="s">
        <v>1</v>
      </c>
      <c r="H245" s="11" t="s">
        <v>2</v>
      </c>
      <c r="I245">
        <v>20</v>
      </c>
      <c r="J245">
        <v>9</v>
      </c>
      <c r="K245">
        <v>18</v>
      </c>
      <c r="L245">
        <v>3</v>
      </c>
      <c r="M245">
        <v>7</v>
      </c>
      <c r="N245">
        <v>16</v>
      </c>
      <c r="O245">
        <v>4</v>
      </c>
      <c r="P245">
        <v>5</v>
      </c>
      <c r="Q245">
        <v>7</v>
      </c>
      <c r="R245">
        <v>0</v>
      </c>
      <c r="S245">
        <v>3</v>
      </c>
      <c r="T245">
        <v>1</v>
      </c>
      <c r="U245">
        <v>1</v>
      </c>
      <c r="V245">
        <v>0</v>
      </c>
      <c r="W245">
        <v>0</v>
      </c>
      <c r="X245">
        <v>0</v>
      </c>
      <c r="Y245" s="15">
        <v>4.5106382978723403</v>
      </c>
      <c r="Z245">
        <v>150</v>
      </c>
      <c r="AA245">
        <v>94</v>
      </c>
      <c r="AB245" s="25">
        <v>13.25</v>
      </c>
      <c r="AC245" s="25">
        <v>16.833333333333332</v>
      </c>
      <c r="AD245" s="25">
        <v>3.5833333333333321</v>
      </c>
      <c r="AE245" s="25">
        <f>Table3[[#This Row],[flies_out]]/Table3[[#This Row],[flies_in]]</f>
        <v>0.62666666666666671</v>
      </c>
    </row>
    <row r="246" spans="1:31" x14ac:dyDescent="0.35">
      <c r="A246" s="16">
        <v>14</v>
      </c>
      <c r="B246" s="16" t="s">
        <v>118</v>
      </c>
      <c r="C246" s="16">
        <v>1</v>
      </c>
      <c r="D246" s="17" t="s">
        <v>106</v>
      </c>
      <c r="E246" s="16" t="s">
        <v>3</v>
      </c>
      <c r="F246" s="16">
        <v>1</v>
      </c>
      <c r="G246" s="16" t="s">
        <v>114</v>
      </c>
      <c r="H246" s="11" t="s">
        <v>0</v>
      </c>
      <c r="I246">
        <v>11</v>
      </c>
      <c r="J246">
        <v>12</v>
      </c>
      <c r="K246">
        <v>8</v>
      </c>
      <c r="L246">
        <v>9</v>
      </c>
      <c r="M246">
        <v>11</v>
      </c>
      <c r="N246">
        <v>4</v>
      </c>
      <c r="O246">
        <v>12</v>
      </c>
      <c r="P246">
        <v>13</v>
      </c>
      <c r="Q246">
        <v>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s="15">
        <v>4.7882352941176469</v>
      </c>
      <c r="Z246">
        <v>125</v>
      </c>
      <c r="AA246">
        <v>85</v>
      </c>
      <c r="AB246" s="25">
        <v>13.25</v>
      </c>
      <c r="AC246" s="25">
        <v>16.900000000000002</v>
      </c>
      <c r="AD246" s="25">
        <v>3.6500000000000021</v>
      </c>
      <c r="AE246" s="25">
        <f>Table3[[#This Row],[flies_out]]/Table3[[#This Row],[flies_in]]</f>
        <v>0.68</v>
      </c>
    </row>
    <row r="247" spans="1:31" x14ac:dyDescent="0.35">
      <c r="A247" s="16">
        <v>14</v>
      </c>
      <c r="B247" s="16" t="s">
        <v>117</v>
      </c>
      <c r="C247">
        <v>2</v>
      </c>
      <c r="D247" s="17" t="s">
        <v>104</v>
      </c>
      <c r="E247" s="16" t="s">
        <v>3</v>
      </c>
      <c r="F247">
        <v>4</v>
      </c>
      <c r="G247" s="16" t="s">
        <v>112</v>
      </c>
      <c r="H247" s="11" t="s">
        <v>0</v>
      </c>
      <c r="I247">
        <v>6</v>
      </c>
      <c r="J247">
        <v>4</v>
      </c>
      <c r="K247">
        <v>7</v>
      </c>
      <c r="L247">
        <v>5</v>
      </c>
      <c r="M247">
        <v>13</v>
      </c>
      <c r="N247">
        <v>11</v>
      </c>
      <c r="O247">
        <v>10</v>
      </c>
      <c r="P247">
        <v>8</v>
      </c>
      <c r="Q247">
        <v>5</v>
      </c>
      <c r="R247">
        <v>11</v>
      </c>
      <c r="S247">
        <v>6</v>
      </c>
      <c r="T247">
        <v>3</v>
      </c>
      <c r="U247">
        <v>3</v>
      </c>
      <c r="V247">
        <v>3</v>
      </c>
      <c r="W247">
        <v>9</v>
      </c>
      <c r="X247">
        <v>0</v>
      </c>
      <c r="Y247" s="15">
        <v>7.625</v>
      </c>
      <c r="Z247">
        <v>150</v>
      </c>
      <c r="AA247">
        <v>104</v>
      </c>
      <c r="AB247" s="25">
        <v>9.5</v>
      </c>
      <c r="AC247" s="25">
        <v>12.633333333333333</v>
      </c>
      <c r="AD247" s="25">
        <v>3.1333333333333329</v>
      </c>
      <c r="AE247" s="25">
        <f>Table3[[#This Row],[flies_out]]/Table3[[#This Row],[flies_in]]</f>
        <v>0.69333333333333336</v>
      </c>
    </row>
    <row r="248" spans="1:31" x14ac:dyDescent="0.35">
      <c r="A248" s="16">
        <v>14</v>
      </c>
      <c r="B248" s="16" t="s">
        <v>117</v>
      </c>
      <c r="C248">
        <v>2</v>
      </c>
      <c r="D248" s="17" t="s">
        <v>104</v>
      </c>
      <c r="E248" s="16" t="s">
        <v>3</v>
      </c>
      <c r="F248">
        <v>4</v>
      </c>
      <c r="G248" s="16" t="s">
        <v>113</v>
      </c>
      <c r="H248" s="11" t="s">
        <v>2</v>
      </c>
      <c r="I248">
        <v>4</v>
      </c>
      <c r="J248">
        <v>2</v>
      </c>
      <c r="K248">
        <v>5</v>
      </c>
      <c r="L248">
        <v>2</v>
      </c>
      <c r="M248">
        <v>6</v>
      </c>
      <c r="N248">
        <v>3</v>
      </c>
      <c r="O248">
        <v>5</v>
      </c>
      <c r="P248">
        <v>15</v>
      </c>
      <c r="Q248">
        <v>9</v>
      </c>
      <c r="R248">
        <v>4</v>
      </c>
      <c r="S248">
        <v>12</v>
      </c>
      <c r="T248">
        <v>8</v>
      </c>
      <c r="U248">
        <v>8</v>
      </c>
      <c r="V248">
        <v>1</v>
      </c>
      <c r="W248">
        <v>4</v>
      </c>
      <c r="X248">
        <v>1</v>
      </c>
      <c r="Y248" s="15">
        <v>8.7303370786516847</v>
      </c>
      <c r="Z248">
        <v>150</v>
      </c>
      <c r="AA248">
        <v>89</v>
      </c>
      <c r="AB248" s="25">
        <v>9.5</v>
      </c>
      <c r="AC248" s="25">
        <v>12.733333333333334</v>
      </c>
      <c r="AD248" s="25">
        <v>3.2333333333333343</v>
      </c>
      <c r="AE248" s="25">
        <f>Table3[[#This Row],[flies_out]]/Table3[[#This Row],[flies_in]]</f>
        <v>0.59333333333333338</v>
      </c>
    </row>
    <row r="249" spans="1:31" x14ac:dyDescent="0.35">
      <c r="A249" s="16">
        <v>14</v>
      </c>
      <c r="B249" s="16" t="s">
        <v>117</v>
      </c>
      <c r="C249">
        <v>2</v>
      </c>
      <c r="D249" s="17" t="s">
        <v>104</v>
      </c>
      <c r="E249" s="16" t="s">
        <v>3</v>
      </c>
      <c r="F249">
        <v>4</v>
      </c>
      <c r="G249" s="16" t="s">
        <v>1</v>
      </c>
      <c r="H249" s="11" t="s">
        <v>2</v>
      </c>
      <c r="I249">
        <v>9</v>
      </c>
      <c r="J249">
        <v>13</v>
      </c>
      <c r="K249">
        <v>12</v>
      </c>
      <c r="L249">
        <v>7</v>
      </c>
      <c r="M249">
        <v>14</v>
      </c>
      <c r="N249">
        <v>8</v>
      </c>
      <c r="O249">
        <v>11</v>
      </c>
      <c r="P249">
        <v>14</v>
      </c>
      <c r="Q249">
        <v>6</v>
      </c>
      <c r="R249">
        <v>7</v>
      </c>
      <c r="S249">
        <v>2</v>
      </c>
      <c r="T249">
        <v>3</v>
      </c>
      <c r="U249">
        <v>0</v>
      </c>
      <c r="V249">
        <v>0</v>
      </c>
      <c r="W249">
        <v>0</v>
      </c>
      <c r="X249">
        <v>0</v>
      </c>
      <c r="Y249" s="15">
        <v>5.5471698113207548</v>
      </c>
      <c r="Z249">
        <v>150</v>
      </c>
      <c r="AA249">
        <v>106</v>
      </c>
      <c r="AB249" s="25">
        <v>9.5</v>
      </c>
      <c r="AC249" s="25">
        <v>12.833333333333332</v>
      </c>
      <c r="AD249" s="25">
        <v>3.3333333333333321</v>
      </c>
      <c r="AE249" s="25">
        <f>Table3[[#This Row],[flies_out]]/Table3[[#This Row],[flies_in]]</f>
        <v>0.70666666666666667</v>
      </c>
    </row>
    <row r="250" spans="1:31" x14ac:dyDescent="0.35">
      <c r="A250" s="16">
        <v>14</v>
      </c>
      <c r="B250" s="16" t="s">
        <v>117</v>
      </c>
      <c r="C250">
        <v>2</v>
      </c>
      <c r="D250" s="17" t="s">
        <v>104</v>
      </c>
      <c r="E250" s="16" t="s">
        <v>3</v>
      </c>
      <c r="F250">
        <v>4</v>
      </c>
      <c r="G250" s="16" t="s">
        <v>114</v>
      </c>
      <c r="H250" s="11" t="s">
        <v>0</v>
      </c>
      <c r="I250">
        <v>10</v>
      </c>
      <c r="J250">
        <v>9</v>
      </c>
      <c r="K250">
        <v>14</v>
      </c>
      <c r="L250">
        <v>9</v>
      </c>
      <c r="M250">
        <v>11</v>
      </c>
      <c r="N250">
        <v>12</v>
      </c>
      <c r="O250">
        <v>5</v>
      </c>
      <c r="P250">
        <v>10</v>
      </c>
      <c r="Q250">
        <v>6</v>
      </c>
      <c r="R250">
        <v>0</v>
      </c>
      <c r="S250">
        <v>4</v>
      </c>
      <c r="T250">
        <v>4</v>
      </c>
      <c r="U250">
        <v>0</v>
      </c>
      <c r="V250">
        <v>1</v>
      </c>
      <c r="W250">
        <v>0</v>
      </c>
      <c r="X250">
        <v>0</v>
      </c>
      <c r="Y250" s="15">
        <v>5.3473684210526313</v>
      </c>
      <c r="Z250">
        <v>125</v>
      </c>
      <c r="AA250">
        <v>95</v>
      </c>
      <c r="AB250" s="25">
        <v>9.5</v>
      </c>
      <c r="AC250" s="25">
        <v>12.95</v>
      </c>
      <c r="AD250" s="25">
        <v>3.4499999999999993</v>
      </c>
      <c r="AE250" s="25">
        <f>Table3[[#This Row],[flies_out]]/Table3[[#This Row],[flies_in]]</f>
        <v>0.76</v>
      </c>
    </row>
    <row r="251" spans="1:31" x14ac:dyDescent="0.35">
      <c r="A251" s="16">
        <v>14</v>
      </c>
      <c r="B251" s="16" t="s">
        <v>118</v>
      </c>
      <c r="C251">
        <v>2</v>
      </c>
      <c r="D251" s="17" t="s">
        <v>106</v>
      </c>
      <c r="E251" s="16" t="s">
        <v>3</v>
      </c>
      <c r="F251">
        <v>3</v>
      </c>
      <c r="G251" s="16" t="s">
        <v>112</v>
      </c>
      <c r="H251" s="11" t="s">
        <v>0</v>
      </c>
      <c r="I251">
        <v>1</v>
      </c>
      <c r="J251">
        <v>6</v>
      </c>
      <c r="K251">
        <v>15</v>
      </c>
      <c r="L251">
        <v>14</v>
      </c>
      <c r="M251">
        <v>21</v>
      </c>
      <c r="N251">
        <v>5</v>
      </c>
      <c r="O251">
        <v>13</v>
      </c>
      <c r="P251">
        <v>10</v>
      </c>
      <c r="Q251">
        <v>4</v>
      </c>
      <c r="R251">
        <v>11</v>
      </c>
      <c r="S251">
        <v>5</v>
      </c>
      <c r="T251">
        <v>2</v>
      </c>
      <c r="U251">
        <v>5</v>
      </c>
      <c r="V251">
        <v>3</v>
      </c>
      <c r="W251">
        <v>8</v>
      </c>
      <c r="X251">
        <v>2</v>
      </c>
      <c r="Y251" s="15">
        <v>7.2320000000000002</v>
      </c>
      <c r="Z251">
        <v>150</v>
      </c>
      <c r="AA251">
        <v>125</v>
      </c>
      <c r="AB251" s="25">
        <v>13.416666666666668</v>
      </c>
      <c r="AC251" s="25">
        <v>16.516666666666666</v>
      </c>
      <c r="AD251" s="25">
        <v>3.0999999999999979</v>
      </c>
      <c r="AE251" s="25">
        <f>Table3[[#This Row],[flies_out]]/Table3[[#This Row],[flies_in]]</f>
        <v>0.83333333333333337</v>
      </c>
    </row>
    <row r="252" spans="1:31" x14ac:dyDescent="0.35">
      <c r="A252" s="16">
        <v>14</v>
      </c>
      <c r="B252" s="16" t="s">
        <v>118</v>
      </c>
      <c r="C252">
        <v>2</v>
      </c>
      <c r="D252" s="17" t="s">
        <v>106</v>
      </c>
      <c r="E252" s="16" t="s">
        <v>3</v>
      </c>
      <c r="F252">
        <v>3</v>
      </c>
      <c r="G252" s="16" t="s">
        <v>113</v>
      </c>
      <c r="H252" s="11" t="s">
        <v>2</v>
      </c>
      <c r="I252">
        <v>7</v>
      </c>
      <c r="J252">
        <v>1</v>
      </c>
      <c r="K252">
        <v>2</v>
      </c>
      <c r="L252">
        <v>1</v>
      </c>
      <c r="M252">
        <v>2</v>
      </c>
      <c r="N252">
        <v>0</v>
      </c>
      <c r="O252">
        <v>3</v>
      </c>
      <c r="P252">
        <v>5</v>
      </c>
      <c r="Q252">
        <v>0</v>
      </c>
      <c r="R252">
        <v>4</v>
      </c>
      <c r="S252">
        <v>4</v>
      </c>
      <c r="T252">
        <v>6</v>
      </c>
      <c r="U252">
        <v>3</v>
      </c>
      <c r="V252">
        <v>2</v>
      </c>
      <c r="W252">
        <v>2</v>
      </c>
      <c r="X252">
        <v>2</v>
      </c>
      <c r="Y252" s="15">
        <v>8.5227272727272734</v>
      </c>
      <c r="Z252">
        <v>150</v>
      </c>
      <c r="AA252">
        <v>44</v>
      </c>
      <c r="AB252" s="25">
        <v>13.416666666666668</v>
      </c>
      <c r="AC252" s="25">
        <v>16.616666666666667</v>
      </c>
      <c r="AD252" s="25">
        <v>3.1999999999999993</v>
      </c>
      <c r="AE252" s="25">
        <f>Table3[[#This Row],[flies_out]]/Table3[[#This Row],[flies_in]]</f>
        <v>0.29333333333333333</v>
      </c>
    </row>
    <row r="253" spans="1:31" x14ac:dyDescent="0.35">
      <c r="A253" s="16">
        <v>14</v>
      </c>
      <c r="B253" s="16" t="s">
        <v>118</v>
      </c>
      <c r="C253">
        <v>2</v>
      </c>
      <c r="D253" s="17" t="s">
        <v>106</v>
      </c>
      <c r="E253" s="16" t="s">
        <v>3</v>
      </c>
      <c r="F253">
        <v>3</v>
      </c>
      <c r="G253" s="16" t="s">
        <v>1</v>
      </c>
      <c r="H253" s="11" t="s">
        <v>2</v>
      </c>
      <c r="I253">
        <v>5</v>
      </c>
      <c r="J253">
        <v>8</v>
      </c>
      <c r="K253">
        <v>16</v>
      </c>
      <c r="L253">
        <v>2</v>
      </c>
      <c r="M253">
        <v>7</v>
      </c>
      <c r="N253">
        <v>15</v>
      </c>
      <c r="O253">
        <v>2</v>
      </c>
      <c r="P253">
        <v>12</v>
      </c>
      <c r="Q253">
        <v>20</v>
      </c>
      <c r="R253">
        <v>6</v>
      </c>
      <c r="S253">
        <v>13</v>
      </c>
      <c r="T253">
        <v>1</v>
      </c>
      <c r="U253">
        <v>6</v>
      </c>
      <c r="V253">
        <v>0</v>
      </c>
      <c r="W253">
        <v>1</v>
      </c>
      <c r="X253">
        <v>1</v>
      </c>
      <c r="Y253" s="15">
        <v>7.0956521739130434</v>
      </c>
      <c r="Z253">
        <v>150</v>
      </c>
      <c r="AA253">
        <v>115</v>
      </c>
      <c r="AB253" s="25">
        <v>13.416666666666668</v>
      </c>
      <c r="AC253" s="25">
        <v>16.733333333333334</v>
      </c>
      <c r="AD253" s="25">
        <v>3.3166666666666664</v>
      </c>
      <c r="AE253" s="25">
        <f>Table3[[#This Row],[flies_out]]/Table3[[#This Row],[flies_in]]</f>
        <v>0.76666666666666672</v>
      </c>
    </row>
    <row r="254" spans="1:31" x14ac:dyDescent="0.35">
      <c r="A254" s="16">
        <v>14</v>
      </c>
      <c r="B254" s="16" t="s">
        <v>118</v>
      </c>
      <c r="C254">
        <v>2</v>
      </c>
      <c r="D254" s="17" t="s">
        <v>106</v>
      </c>
      <c r="E254" s="16" t="s">
        <v>3</v>
      </c>
      <c r="F254">
        <v>3</v>
      </c>
      <c r="G254" s="16" t="s">
        <v>114</v>
      </c>
      <c r="H254" s="11" t="s">
        <v>0</v>
      </c>
      <c r="I254">
        <v>10</v>
      </c>
      <c r="J254">
        <v>6</v>
      </c>
      <c r="K254">
        <v>4</v>
      </c>
      <c r="L254">
        <v>19</v>
      </c>
      <c r="M254">
        <v>14</v>
      </c>
      <c r="N254">
        <v>10</v>
      </c>
      <c r="O254">
        <v>17</v>
      </c>
      <c r="P254">
        <v>10</v>
      </c>
      <c r="Q254">
        <v>4</v>
      </c>
      <c r="R254">
        <v>1</v>
      </c>
      <c r="S254">
        <v>4</v>
      </c>
      <c r="T254">
        <v>3</v>
      </c>
      <c r="U254">
        <v>1</v>
      </c>
      <c r="V254">
        <v>0</v>
      </c>
      <c r="W254">
        <v>0</v>
      </c>
      <c r="X254">
        <v>0</v>
      </c>
      <c r="Y254" s="15">
        <v>5.6116504854368934</v>
      </c>
      <c r="Z254">
        <v>150</v>
      </c>
      <c r="AA254">
        <v>103</v>
      </c>
      <c r="AB254" s="25">
        <v>13.416666666666668</v>
      </c>
      <c r="AC254" s="25">
        <v>16.833333333333332</v>
      </c>
      <c r="AD254" s="25">
        <v>3.4166666666666643</v>
      </c>
      <c r="AE254" s="25">
        <f>Table3[[#This Row],[flies_out]]/Table3[[#This Row],[flies_in]]</f>
        <v>0.68666666666666665</v>
      </c>
    </row>
    <row r="255" spans="1:31" x14ac:dyDescent="0.35">
      <c r="A255" s="16">
        <v>15</v>
      </c>
      <c r="B255" s="16" t="s">
        <v>117</v>
      </c>
      <c r="C255" s="16">
        <v>1</v>
      </c>
      <c r="D255" s="17" t="s">
        <v>104</v>
      </c>
      <c r="E255" s="16" t="s">
        <v>3</v>
      </c>
      <c r="F255" s="16">
        <v>2</v>
      </c>
      <c r="G255" s="16" t="s">
        <v>112</v>
      </c>
      <c r="H255" s="11" t="s">
        <v>2</v>
      </c>
      <c r="I255">
        <v>4</v>
      </c>
      <c r="J255">
        <v>5</v>
      </c>
      <c r="K255">
        <v>5</v>
      </c>
      <c r="L255">
        <v>4</v>
      </c>
      <c r="M255">
        <v>8</v>
      </c>
      <c r="N255">
        <v>3</v>
      </c>
      <c r="O255">
        <v>5</v>
      </c>
      <c r="P255">
        <v>12</v>
      </c>
      <c r="Q255">
        <v>4</v>
      </c>
      <c r="R255">
        <v>7</v>
      </c>
      <c r="S255">
        <v>6</v>
      </c>
      <c r="T255">
        <v>3</v>
      </c>
      <c r="U255">
        <v>2</v>
      </c>
      <c r="V255">
        <v>0</v>
      </c>
      <c r="W255">
        <v>2</v>
      </c>
      <c r="X255">
        <v>1</v>
      </c>
      <c r="Y255" s="15">
        <v>7.23943661971831</v>
      </c>
      <c r="Z255">
        <v>150</v>
      </c>
      <c r="AA255">
        <v>71</v>
      </c>
      <c r="AB255" s="25">
        <v>9.6166666666666671</v>
      </c>
      <c r="AC255" s="25">
        <v>12.533333333333335</v>
      </c>
      <c r="AD255" s="25">
        <v>2.9166666666666679</v>
      </c>
      <c r="AE255" s="25">
        <f>Table3[[#This Row],[flies_out]]/Table3[[#This Row],[flies_in]]</f>
        <v>0.47333333333333333</v>
      </c>
    </row>
    <row r="256" spans="1:31" x14ac:dyDescent="0.35">
      <c r="A256" s="16">
        <v>15</v>
      </c>
      <c r="B256" s="16" t="s">
        <v>117</v>
      </c>
      <c r="C256" s="16">
        <v>1</v>
      </c>
      <c r="D256" s="17" t="s">
        <v>104</v>
      </c>
      <c r="E256" s="16" t="s">
        <v>3</v>
      </c>
      <c r="F256" s="16">
        <v>2</v>
      </c>
      <c r="G256" s="16" t="s">
        <v>113</v>
      </c>
      <c r="H256" s="11" t="s">
        <v>0</v>
      </c>
      <c r="I256">
        <v>2</v>
      </c>
      <c r="J256">
        <v>0</v>
      </c>
      <c r="K256">
        <v>1</v>
      </c>
      <c r="L256">
        <v>2</v>
      </c>
      <c r="M256">
        <v>0</v>
      </c>
      <c r="N256">
        <v>2</v>
      </c>
      <c r="O256">
        <v>7</v>
      </c>
      <c r="P256">
        <v>6</v>
      </c>
      <c r="Q256">
        <v>3</v>
      </c>
      <c r="R256">
        <v>6</v>
      </c>
      <c r="S256">
        <v>5</v>
      </c>
      <c r="T256">
        <v>7</v>
      </c>
      <c r="U256">
        <v>3</v>
      </c>
      <c r="V256">
        <v>2</v>
      </c>
      <c r="W256">
        <v>0</v>
      </c>
      <c r="X256">
        <v>0</v>
      </c>
      <c r="Y256" s="15">
        <v>9.0217391304347831</v>
      </c>
      <c r="Z256">
        <v>100</v>
      </c>
      <c r="AA256">
        <v>46</v>
      </c>
      <c r="AB256" s="25">
        <v>9.6166666666666671</v>
      </c>
      <c r="AC256" s="25">
        <v>12.616666666666667</v>
      </c>
      <c r="AD256" s="25">
        <v>3</v>
      </c>
      <c r="AE256" s="25">
        <f>Table3[[#This Row],[flies_out]]/Table3[[#This Row],[flies_in]]</f>
        <v>0.46</v>
      </c>
    </row>
    <row r="257" spans="1:31" x14ac:dyDescent="0.35">
      <c r="A257" s="16">
        <v>15</v>
      </c>
      <c r="B257" s="16" t="s">
        <v>117</v>
      </c>
      <c r="C257" s="16">
        <v>1</v>
      </c>
      <c r="D257" s="17" t="s">
        <v>104</v>
      </c>
      <c r="E257" s="16" t="s">
        <v>3</v>
      </c>
      <c r="F257" s="16">
        <v>2</v>
      </c>
      <c r="G257" s="16" t="s">
        <v>1</v>
      </c>
      <c r="H257" s="11" t="s">
        <v>0</v>
      </c>
      <c r="I257">
        <v>12</v>
      </c>
      <c r="J257">
        <v>17</v>
      </c>
      <c r="K257">
        <v>14</v>
      </c>
      <c r="L257">
        <v>0</v>
      </c>
      <c r="M257">
        <v>3</v>
      </c>
      <c r="N257">
        <v>11</v>
      </c>
      <c r="O257">
        <v>4</v>
      </c>
      <c r="P257">
        <v>4</v>
      </c>
      <c r="Q257">
        <v>9</v>
      </c>
      <c r="R257">
        <v>1</v>
      </c>
      <c r="S257">
        <v>4</v>
      </c>
      <c r="T257">
        <v>2</v>
      </c>
      <c r="U257">
        <v>1</v>
      </c>
      <c r="V257">
        <v>0</v>
      </c>
      <c r="W257">
        <v>1</v>
      </c>
      <c r="X257">
        <v>0</v>
      </c>
      <c r="Y257" s="15">
        <v>5.0120481927710845</v>
      </c>
      <c r="Z257">
        <v>125</v>
      </c>
      <c r="AA257">
        <v>83</v>
      </c>
      <c r="AB257" s="25">
        <v>9.6166666666666671</v>
      </c>
      <c r="AC257" s="25">
        <v>12.716666666666667</v>
      </c>
      <c r="AD257" s="25">
        <v>3.0999999999999996</v>
      </c>
      <c r="AE257" s="25">
        <f>Table3[[#This Row],[flies_out]]/Table3[[#This Row],[flies_in]]</f>
        <v>0.66400000000000003</v>
      </c>
    </row>
    <row r="258" spans="1:31" x14ac:dyDescent="0.35">
      <c r="A258" s="16">
        <v>15</v>
      </c>
      <c r="B258" s="16" t="s">
        <v>117</v>
      </c>
      <c r="C258" s="16">
        <v>1</v>
      </c>
      <c r="D258" s="17" t="s">
        <v>104</v>
      </c>
      <c r="E258" s="16" t="s">
        <v>3</v>
      </c>
      <c r="F258" s="16">
        <v>2</v>
      </c>
      <c r="G258" s="16" t="s">
        <v>114</v>
      </c>
      <c r="H258" s="11" t="s">
        <v>2</v>
      </c>
      <c r="I258">
        <v>5</v>
      </c>
      <c r="J258">
        <v>9</v>
      </c>
      <c r="K258">
        <v>2</v>
      </c>
      <c r="L258">
        <v>4</v>
      </c>
      <c r="M258">
        <v>5</v>
      </c>
      <c r="N258">
        <v>9</v>
      </c>
      <c r="O258">
        <v>4</v>
      </c>
      <c r="P258">
        <v>12</v>
      </c>
      <c r="Q258">
        <v>2</v>
      </c>
      <c r="R258">
        <v>0</v>
      </c>
      <c r="S258">
        <v>2</v>
      </c>
      <c r="T258">
        <v>0</v>
      </c>
      <c r="U258">
        <v>0</v>
      </c>
      <c r="V258">
        <v>1</v>
      </c>
      <c r="W258">
        <v>1</v>
      </c>
      <c r="X258">
        <v>0</v>
      </c>
      <c r="Y258" s="15">
        <v>5.6607142857142856</v>
      </c>
      <c r="Z258">
        <v>125</v>
      </c>
      <c r="AA258">
        <v>56</v>
      </c>
      <c r="AB258" s="25">
        <v>9.6166666666666671</v>
      </c>
      <c r="AC258" s="25">
        <v>12.8</v>
      </c>
      <c r="AD258" s="25">
        <v>3.1833333333333336</v>
      </c>
      <c r="AE258" s="25">
        <f>Table3[[#This Row],[flies_out]]/Table3[[#This Row],[flies_in]]</f>
        <v>0.44800000000000001</v>
      </c>
    </row>
    <row r="259" spans="1:31" x14ac:dyDescent="0.35">
      <c r="A259" s="16">
        <v>15</v>
      </c>
      <c r="B259" s="16" t="s">
        <v>118</v>
      </c>
      <c r="C259" s="16">
        <v>1</v>
      </c>
      <c r="D259" s="17" t="s">
        <v>106</v>
      </c>
      <c r="E259" s="16" t="s">
        <v>3</v>
      </c>
      <c r="F259" s="16">
        <v>1</v>
      </c>
      <c r="G259" s="16" t="s">
        <v>112</v>
      </c>
      <c r="H259" s="11" t="s">
        <v>2</v>
      </c>
      <c r="I259">
        <v>8</v>
      </c>
      <c r="J259">
        <v>9</v>
      </c>
      <c r="K259">
        <v>6</v>
      </c>
      <c r="L259">
        <v>4</v>
      </c>
      <c r="M259">
        <v>8</v>
      </c>
      <c r="N259">
        <v>9</v>
      </c>
      <c r="O259">
        <v>6</v>
      </c>
      <c r="P259">
        <v>11</v>
      </c>
      <c r="Q259">
        <v>6</v>
      </c>
      <c r="R259">
        <v>5</v>
      </c>
      <c r="S259">
        <v>5</v>
      </c>
      <c r="T259">
        <v>0</v>
      </c>
      <c r="U259">
        <v>0</v>
      </c>
      <c r="V259">
        <v>1</v>
      </c>
      <c r="W259">
        <v>2</v>
      </c>
      <c r="X259">
        <v>1</v>
      </c>
      <c r="Y259" s="15">
        <v>6.2098765432098766</v>
      </c>
      <c r="Z259">
        <v>125</v>
      </c>
      <c r="AA259">
        <v>81</v>
      </c>
      <c r="AB259" s="25">
        <v>13.216666666666669</v>
      </c>
      <c r="AC259" s="25">
        <v>17</v>
      </c>
      <c r="AD259" s="25">
        <v>3.7833333333333314</v>
      </c>
      <c r="AE259" s="25">
        <f>Table3[[#This Row],[flies_out]]/Table3[[#This Row],[flies_in]]</f>
        <v>0.64800000000000002</v>
      </c>
    </row>
    <row r="260" spans="1:31" x14ac:dyDescent="0.35">
      <c r="A260" s="16">
        <v>15</v>
      </c>
      <c r="B260" s="16" t="s">
        <v>118</v>
      </c>
      <c r="C260" s="16">
        <v>1</v>
      </c>
      <c r="D260" s="17" t="s">
        <v>106</v>
      </c>
      <c r="E260" s="16" t="s">
        <v>3</v>
      </c>
      <c r="F260" s="16">
        <v>1</v>
      </c>
      <c r="G260" s="16" t="s">
        <v>113</v>
      </c>
      <c r="H260" s="11" t="s">
        <v>0</v>
      </c>
      <c r="I260">
        <v>5</v>
      </c>
      <c r="J260">
        <v>6</v>
      </c>
      <c r="K260">
        <v>8</v>
      </c>
      <c r="L260">
        <v>1</v>
      </c>
      <c r="M260">
        <v>4</v>
      </c>
      <c r="N260">
        <v>3</v>
      </c>
      <c r="O260">
        <v>13</v>
      </c>
      <c r="P260">
        <v>5</v>
      </c>
      <c r="Q260">
        <v>2</v>
      </c>
      <c r="R260">
        <v>7</v>
      </c>
      <c r="S260">
        <v>0</v>
      </c>
      <c r="T260">
        <v>5</v>
      </c>
      <c r="U260">
        <v>7</v>
      </c>
      <c r="V260">
        <v>2</v>
      </c>
      <c r="W260">
        <v>0</v>
      </c>
      <c r="X260">
        <v>2</v>
      </c>
      <c r="Y260" s="15">
        <v>7.3285714285714283</v>
      </c>
      <c r="Z260">
        <v>125</v>
      </c>
      <c r="AA260">
        <v>70</v>
      </c>
      <c r="AB260" s="25">
        <v>13.216666666666669</v>
      </c>
      <c r="AC260" s="25">
        <v>17.116666666666667</v>
      </c>
      <c r="AD260" s="25">
        <v>3.8999999999999986</v>
      </c>
      <c r="AE260" s="25">
        <f>Table3[[#This Row],[flies_out]]/Table3[[#This Row],[flies_in]]</f>
        <v>0.56000000000000005</v>
      </c>
    </row>
    <row r="261" spans="1:31" x14ac:dyDescent="0.35">
      <c r="A261" s="16">
        <v>15</v>
      </c>
      <c r="B261" s="16" t="s">
        <v>118</v>
      </c>
      <c r="C261" s="16">
        <v>1</v>
      </c>
      <c r="D261" s="17" t="s">
        <v>106</v>
      </c>
      <c r="E261" s="16" t="s">
        <v>3</v>
      </c>
      <c r="F261" s="16">
        <v>1</v>
      </c>
      <c r="G261" s="16" t="s">
        <v>1</v>
      </c>
      <c r="H261" s="11" t="s">
        <v>0</v>
      </c>
      <c r="I261">
        <v>23</v>
      </c>
      <c r="J261">
        <v>22</v>
      </c>
      <c r="K261">
        <v>17</v>
      </c>
      <c r="L261">
        <v>4</v>
      </c>
      <c r="M261">
        <v>10</v>
      </c>
      <c r="N261">
        <v>23</v>
      </c>
      <c r="O261">
        <v>2</v>
      </c>
      <c r="P261">
        <v>16</v>
      </c>
      <c r="Q261">
        <v>9</v>
      </c>
      <c r="R261">
        <v>3</v>
      </c>
      <c r="S261">
        <v>3</v>
      </c>
      <c r="T261">
        <v>2</v>
      </c>
      <c r="U261">
        <v>1</v>
      </c>
      <c r="V261">
        <v>0</v>
      </c>
      <c r="W261">
        <v>0</v>
      </c>
      <c r="X261">
        <v>0</v>
      </c>
      <c r="Y261" s="15">
        <v>4.7777777777777777</v>
      </c>
      <c r="Z261">
        <v>150</v>
      </c>
      <c r="AA261">
        <v>135</v>
      </c>
      <c r="AB261" s="25">
        <v>13.216666666666669</v>
      </c>
      <c r="AC261" s="25">
        <v>17.2</v>
      </c>
      <c r="AD261" s="25">
        <v>3.9833333333333307</v>
      </c>
      <c r="AE261" s="25">
        <f>Table3[[#This Row],[flies_out]]/Table3[[#This Row],[flies_in]]</f>
        <v>0.9</v>
      </c>
    </row>
    <row r="262" spans="1:31" x14ac:dyDescent="0.35">
      <c r="A262" s="16">
        <v>15</v>
      </c>
      <c r="B262" s="16" t="s">
        <v>118</v>
      </c>
      <c r="C262" s="16">
        <v>1</v>
      </c>
      <c r="D262" s="17" t="s">
        <v>106</v>
      </c>
      <c r="E262" s="16" t="s">
        <v>3</v>
      </c>
      <c r="F262" s="16">
        <v>1</v>
      </c>
      <c r="G262" s="16" t="s">
        <v>114</v>
      </c>
      <c r="H262" s="11" t="s">
        <v>2</v>
      </c>
      <c r="I262">
        <v>21</v>
      </c>
      <c r="J262">
        <v>11</v>
      </c>
      <c r="K262">
        <v>9</v>
      </c>
      <c r="L262">
        <v>9</v>
      </c>
      <c r="M262">
        <v>11</v>
      </c>
      <c r="N262">
        <v>7</v>
      </c>
      <c r="O262">
        <v>1</v>
      </c>
      <c r="P262">
        <v>8</v>
      </c>
      <c r="Q262">
        <v>5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 s="15">
        <v>3.9759036144578315</v>
      </c>
      <c r="Z262">
        <v>150</v>
      </c>
      <c r="AA262">
        <v>83</v>
      </c>
      <c r="AB262" s="25">
        <v>13.216666666666669</v>
      </c>
      <c r="AC262" s="25">
        <v>17.3</v>
      </c>
      <c r="AD262" s="25">
        <v>4.0833333333333321</v>
      </c>
      <c r="AE262" s="25">
        <f>Table3[[#This Row],[flies_out]]/Table3[[#This Row],[flies_in]]</f>
        <v>0.55333333333333334</v>
      </c>
    </row>
    <row r="263" spans="1:31" x14ac:dyDescent="0.35">
      <c r="A263" s="16">
        <v>15</v>
      </c>
      <c r="B263" s="16" t="s">
        <v>117</v>
      </c>
      <c r="C263">
        <v>2</v>
      </c>
      <c r="D263" s="17" t="s">
        <v>104</v>
      </c>
      <c r="E263" s="16" t="s">
        <v>3</v>
      </c>
      <c r="F263">
        <v>4</v>
      </c>
      <c r="G263" s="16" t="s">
        <v>112</v>
      </c>
      <c r="H263" s="11" t="s">
        <v>2</v>
      </c>
      <c r="I263">
        <v>3</v>
      </c>
      <c r="J263">
        <v>4</v>
      </c>
      <c r="K263">
        <v>3</v>
      </c>
      <c r="L263">
        <v>3</v>
      </c>
      <c r="M263">
        <v>8</v>
      </c>
      <c r="N263">
        <v>4</v>
      </c>
      <c r="O263">
        <v>0</v>
      </c>
      <c r="P263">
        <v>6</v>
      </c>
      <c r="Q263">
        <v>5</v>
      </c>
      <c r="R263">
        <v>15</v>
      </c>
      <c r="S263">
        <v>6</v>
      </c>
      <c r="T263">
        <v>5</v>
      </c>
      <c r="U263">
        <v>3</v>
      </c>
      <c r="V263">
        <v>0</v>
      </c>
      <c r="W263">
        <v>7</v>
      </c>
      <c r="X263">
        <v>11</v>
      </c>
      <c r="Y263" s="15">
        <v>9.4578313253012052</v>
      </c>
      <c r="Z263">
        <v>150</v>
      </c>
      <c r="AA263">
        <v>83</v>
      </c>
      <c r="AB263" s="25">
        <v>9.4166666666666661</v>
      </c>
      <c r="AC263" s="25">
        <v>12.533333333333335</v>
      </c>
      <c r="AD263" s="25">
        <v>3.1166666666666689</v>
      </c>
      <c r="AE263" s="25">
        <f>Table3[[#This Row],[flies_out]]/Table3[[#This Row],[flies_in]]</f>
        <v>0.55333333333333334</v>
      </c>
    </row>
    <row r="264" spans="1:31" x14ac:dyDescent="0.35">
      <c r="A264" s="16">
        <v>15</v>
      </c>
      <c r="B264" s="16" t="s">
        <v>117</v>
      </c>
      <c r="C264">
        <v>2</v>
      </c>
      <c r="D264" s="17" t="s">
        <v>104</v>
      </c>
      <c r="E264" s="16" t="s">
        <v>3</v>
      </c>
      <c r="F264">
        <v>4</v>
      </c>
      <c r="G264" s="16" t="s">
        <v>113</v>
      </c>
      <c r="H264" s="11" t="s">
        <v>0</v>
      </c>
      <c r="I264">
        <v>1</v>
      </c>
      <c r="J264">
        <v>0</v>
      </c>
      <c r="K264">
        <v>1</v>
      </c>
      <c r="L264">
        <v>2</v>
      </c>
      <c r="M264">
        <v>4</v>
      </c>
      <c r="N264">
        <v>2</v>
      </c>
      <c r="O264">
        <v>10</v>
      </c>
      <c r="P264">
        <v>17</v>
      </c>
      <c r="Q264">
        <v>1</v>
      </c>
      <c r="R264">
        <v>9</v>
      </c>
      <c r="S264">
        <v>9</v>
      </c>
      <c r="T264">
        <v>8</v>
      </c>
      <c r="U264">
        <v>9</v>
      </c>
      <c r="V264">
        <v>7</v>
      </c>
      <c r="W264">
        <v>7</v>
      </c>
      <c r="X264">
        <v>0</v>
      </c>
      <c r="Y264" s="15">
        <v>9.931034482758621</v>
      </c>
      <c r="Z264">
        <v>150</v>
      </c>
      <c r="AA264">
        <v>87</v>
      </c>
      <c r="AB264" s="25">
        <v>9.4166666666666661</v>
      </c>
      <c r="AC264" s="25">
        <v>12.616666666666667</v>
      </c>
      <c r="AD264" s="25">
        <v>3.2000000000000011</v>
      </c>
      <c r="AE264" s="25">
        <f>Table3[[#This Row],[flies_out]]/Table3[[#This Row],[flies_in]]</f>
        <v>0.57999999999999996</v>
      </c>
    </row>
    <row r="265" spans="1:31" x14ac:dyDescent="0.35">
      <c r="A265" s="16">
        <v>15</v>
      </c>
      <c r="B265" s="16" t="s">
        <v>117</v>
      </c>
      <c r="C265">
        <v>2</v>
      </c>
      <c r="D265" s="17" t="s">
        <v>104</v>
      </c>
      <c r="E265" s="16" t="s">
        <v>3</v>
      </c>
      <c r="F265">
        <v>4</v>
      </c>
      <c r="G265" s="16" t="s">
        <v>1</v>
      </c>
      <c r="H265" s="11" t="s">
        <v>0</v>
      </c>
      <c r="I265">
        <v>9</v>
      </c>
      <c r="J265">
        <v>14</v>
      </c>
      <c r="K265">
        <v>21</v>
      </c>
      <c r="L265">
        <v>2</v>
      </c>
      <c r="M265">
        <v>2</v>
      </c>
      <c r="N265">
        <v>11</v>
      </c>
      <c r="O265">
        <v>13</v>
      </c>
      <c r="P265">
        <v>16</v>
      </c>
      <c r="Q265">
        <v>11</v>
      </c>
      <c r="R265">
        <v>5</v>
      </c>
      <c r="S265">
        <v>8</v>
      </c>
      <c r="T265">
        <v>3</v>
      </c>
      <c r="U265">
        <v>1</v>
      </c>
      <c r="V265">
        <v>1</v>
      </c>
      <c r="W265">
        <v>0</v>
      </c>
      <c r="X265">
        <v>0</v>
      </c>
      <c r="Y265" s="15">
        <v>6.0085470085470085</v>
      </c>
      <c r="Z265">
        <v>150</v>
      </c>
      <c r="AA265">
        <v>117</v>
      </c>
      <c r="AB265" s="25">
        <v>9.4166666666666661</v>
      </c>
      <c r="AC265" s="25">
        <v>12.716666666666667</v>
      </c>
      <c r="AD265" s="25">
        <v>3.3000000000000007</v>
      </c>
      <c r="AE265" s="25">
        <f>Table3[[#This Row],[flies_out]]/Table3[[#This Row],[flies_in]]</f>
        <v>0.78</v>
      </c>
    </row>
    <row r="266" spans="1:31" x14ac:dyDescent="0.35">
      <c r="A266" s="16">
        <v>15</v>
      </c>
      <c r="B266" s="16" t="s">
        <v>117</v>
      </c>
      <c r="C266">
        <v>2</v>
      </c>
      <c r="D266" s="17" t="s">
        <v>104</v>
      </c>
      <c r="E266" s="16" t="s">
        <v>3</v>
      </c>
      <c r="F266">
        <v>4</v>
      </c>
      <c r="G266" s="16" t="s">
        <v>114</v>
      </c>
      <c r="H266" s="11" t="s">
        <v>2</v>
      </c>
      <c r="I266">
        <v>13</v>
      </c>
      <c r="J266">
        <v>13</v>
      </c>
      <c r="K266">
        <v>11</v>
      </c>
      <c r="L266">
        <v>12</v>
      </c>
      <c r="M266">
        <v>11</v>
      </c>
      <c r="N266">
        <v>6</v>
      </c>
      <c r="O266">
        <v>5</v>
      </c>
      <c r="P266">
        <v>6</v>
      </c>
      <c r="Q266">
        <v>1</v>
      </c>
      <c r="R266">
        <v>0</v>
      </c>
      <c r="S266">
        <v>3</v>
      </c>
      <c r="T266">
        <v>4</v>
      </c>
      <c r="U266">
        <v>0</v>
      </c>
      <c r="V266">
        <v>1</v>
      </c>
      <c r="W266">
        <v>0</v>
      </c>
      <c r="X266">
        <v>0</v>
      </c>
      <c r="Y266" s="15">
        <v>4.6279069767441863</v>
      </c>
      <c r="Z266">
        <v>150</v>
      </c>
      <c r="AA266">
        <v>86</v>
      </c>
      <c r="AB266" s="25">
        <v>9.4166666666666661</v>
      </c>
      <c r="AC266" s="25">
        <v>12.8</v>
      </c>
      <c r="AD266" s="25">
        <v>3.3833333333333346</v>
      </c>
      <c r="AE266" s="25">
        <f>Table3[[#This Row],[flies_out]]/Table3[[#This Row],[flies_in]]</f>
        <v>0.57333333333333336</v>
      </c>
    </row>
    <row r="267" spans="1:31" x14ac:dyDescent="0.35">
      <c r="A267" s="16">
        <v>15</v>
      </c>
      <c r="B267" s="16" t="s">
        <v>118</v>
      </c>
      <c r="C267">
        <v>2</v>
      </c>
      <c r="D267" s="17" t="s">
        <v>106</v>
      </c>
      <c r="E267" s="16" t="s">
        <v>3</v>
      </c>
      <c r="F267">
        <v>3</v>
      </c>
      <c r="G267" s="16" t="s">
        <v>112</v>
      </c>
      <c r="H267" s="11" t="s">
        <v>2</v>
      </c>
      <c r="I267">
        <v>2</v>
      </c>
      <c r="J267">
        <v>4</v>
      </c>
      <c r="K267">
        <v>0</v>
      </c>
      <c r="L267">
        <v>8</v>
      </c>
      <c r="M267">
        <v>12</v>
      </c>
      <c r="N267">
        <v>15</v>
      </c>
      <c r="O267">
        <v>7</v>
      </c>
      <c r="P267">
        <v>19</v>
      </c>
      <c r="Q267">
        <v>9</v>
      </c>
      <c r="R267">
        <v>11</v>
      </c>
      <c r="S267">
        <v>4</v>
      </c>
      <c r="T267">
        <v>2</v>
      </c>
      <c r="U267">
        <v>4</v>
      </c>
      <c r="V267">
        <v>3</v>
      </c>
      <c r="W267">
        <v>0</v>
      </c>
      <c r="X267">
        <v>4</v>
      </c>
      <c r="Y267" s="15">
        <v>7.7884615384615383</v>
      </c>
      <c r="Z267">
        <v>150</v>
      </c>
      <c r="AA267">
        <v>104</v>
      </c>
      <c r="AB267" s="25">
        <v>13.416666666666668</v>
      </c>
      <c r="AC267" s="25">
        <v>17.05</v>
      </c>
      <c r="AD267" s="25">
        <v>3.6333333333333329</v>
      </c>
      <c r="AE267" s="25">
        <f>Table3[[#This Row],[flies_out]]/Table3[[#This Row],[flies_in]]</f>
        <v>0.69333333333333336</v>
      </c>
    </row>
    <row r="268" spans="1:31" x14ac:dyDescent="0.35">
      <c r="A268" s="16">
        <v>15</v>
      </c>
      <c r="B268" s="16" t="s">
        <v>118</v>
      </c>
      <c r="C268">
        <v>2</v>
      </c>
      <c r="D268" s="17" t="s">
        <v>106</v>
      </c>
      <c r="E268" s="16" t="s">
        <v>3</v>
      </c>
      <c r="F268">
        <v>3</v>
      </c>
      <c r="G268" s="16" t="s">
        <v>113</v>
      </c>
      <c r="H268" s="11" t="s">
        <v>0</v>
      </c>
      <c r="I268">
        <v>12</v>
      </c>
      <c r="J268">
        <v>12</v>
      </c>
      <c r="K268">
        <v>14</v>
      </c>
      <c r="L268">
        <v>9</v>
      </c>
      <c r="M268">
        <v>9</v>
      </c>
      <c r="N268">
        <v>10</v>
      </c>
      <c r="O268">
        <v>16</v>
      </c>
      <c r="P268">
        <v>7</v>
      </c>
      <c r="Q268">
        <v>5</v>
      </c>
      <c r="R268">
        <v>1</v>
      </c>
      <c r="S268">
        <v>4</v>
      </c>
      <c r="T268">
        <v>0</v>
      </c>
      <c r="U268">
        <v>1</v>
      </c>
      <c r="V268">
        <v>0</v>
      </c>
      <c r="W268">
        <v>0</v>
      </c>
      <c r="X268">
        <v>0</v>
      </c>
      <c r="Y268" s="15">
        <v>4.99</v>
      </c>
      <c r="Z268">
        <v>150</v>
      </c>
      <c r="AA268">
        <v>100</v>
      </c>
      <c r="AB268" s="25">
        <v>13.416666666666668</v>
      </c>
      <c r="AC268" s="25">
        <v>17.133333333333333</v>
      </c>
      <c r="AD268" s="25">
        <v>3.716666666666665</v>
      </c>
      <c r="AE268" s="25">
        <f>Table3[[#This Row],[flies_out]]/Table3[[#This Row],[flies_in]]</f>
        <v>0.66666666666666663</v>
      </c>
    </row>
    <row r="269" spans="1:31" x14ac:dyDescent="0.35">
      <c r="A269" s="16">
        <v>15</v>
      </c>
      <c r="B269" s="16" t="s">
        <v>118</v>
      </c>
      <c r="C269">
        <v>2</v>
      </c>
      <c r="D269" s="17" t="s">
        <v>106</v>
      </c>
      <c r="E269" s="16" t="s">
        <v>3</v>
      </c>
      <c r="F269">
        <v>3</v>
      </c>
      <c r="G269" s="16" t="s">
        <v>1</v>
      </c>
      <c r="H269" s="11" t="s">
        <v>0</v>
      </c>
      <c r="I269">
        <v>34</v>
      </c>
      <c r="J269">
        <v>22</v>
      </c>
      <c r="K269">
        <v>18</v>
      </c>
      <c r="L269">
        <v>3</v>
      </c>
      <c r="M269">
        <v>5</v>
      </c>
      <c r="N269">
        <v>6</v>
      </c>
      <c r="O269">
        <v>5</v>
      </c>
      <c r="P269">
        <v>1</v>
      </c>
      <c r="Q269">
        <v>3</v>
      </c>
      <c r="R269">
        <v>5</v>
      </c>
      <c r="S269">
        <v>2</v>
      </c>
      <c r="T269">
        <v>2</v>
      </c>
      <c r="U269">
        <v>3</v>
      </c>
      <c r="V269">
        <v>3</v>
      </c>
      <c r="W269">
        <v>2</v>
      </c>
      <c r="X269">
        <v>0</v>
      </c>
      <c r="Y269" s="15">
        <v>4.2280701754385968</v>
      </c>
      <c r="Z269">
        <v>150</v>
      </c>
      <c r="AA269">
        <v>114</v>
      </c>
      <c r="AB269" s="25">
        <v>13.416666666666668</v>
      </c>
      <c r="AC269" s="25">
        <v>17.216666666666669</v>
      </c>
      <c r="AD269" s="25">
        <v>3.8000000000000007</v>
      </c>
      <c r="AE269" s="25">
        <f>Table3[[#This Row],[flies_out]]/Table3[[#This Row],[flies_in]]</f>
        <v>0.76</v>
      </c>
    </row>
    <row r="270" spans="1:31" x14ac:dyDescent="0.35">
      <c r="A270" s="16">
        <v>15</v>
      </c>
      <c r="B270" s="16" t="s">
        <v>118</v>
      </c>
      <c r="C270">
        <v>2</v>
      </c>
      <c r="D270" s="17" t="s">
        <v>106</v>
      </c>
      <c r="E270" s="16" t="s">
        <v>3</v>
      </c>
      <c r="F270">
        <v>3</v>
      </c>
      <c r="G270" s="16" t="s">
        <v>114</v>
      </c>
      <c r="H270" s="11" t="s">
        <v>2</v>
      </c>
      <c r="I270">
        <v>2</v>
      </c>
      <c r="J270">
        <v>8</v>
      </c>
      <c r="K270">
        <v>6</v>
      </c>
      <c r="L270">
        <v>10</v>
      </c>
      <c r="M270">
        <v>16</v>
      </c>
      <c r="N270">
        <v>11</v>
      </c>
      <c r="O270">
        <v>16</v>
      </c>
      <c r="P270">
        <v>10</v>
      </c>
      <c r="Q270">
        <v>8</v>
      </c>
      <c r="R270">
        <v>1</v>
      </c>
      <c r="S270">
        <v>2</v>
      </c>
      <c r="T270">
        <v>2</v>
      </c>
      <c r="U270">
        <v>0</v>
      </c>
      <c r="V270">
        <v>0</v>
      </c>
      <c r="W270">
        <v>0</v>
      </c>
      <c r="X270">
        <v>0</v>
      </c>
      <c r="Y270" s="15">
        <v>5.8913043478260869</v>
      </c>
      <c r="Z270">
        <v>150</v>
      </c>
      <c r="AA270">
        <v>92</v>
      </c>
      <c r="AB270" s="25">
        <v>13.416666666666668</v>
      </c>
      <c r="AC270" s="25">
        <v>17.366666666666667</v>
      </c>
      <c r="AD270" s="25">
        <v>3.9499999999999993</v>
      </c>
      <c r="AE270" s="25">
        <f>Table3[[#This Row],[flies_out]]/Table3[[#This Row],[flies_in]]</f>
        <v>0.61333333333333329</v>
      </c>
    </row>
    <row r="271" spans="1:31" x14ac:dyDescent="0.35">
      <c r="A271" s="16">
        <v>15</v>
      </c>
      <c r="B271" s="16" t="s">
        <v>117</v>
      </c>
      <c r="C271">
        <v>3</v>
      </c>
      <c r="D271" s="17" t="s">
        <v>104</v>
      </c>
      <c r="E271" t="s">
        <v>1</v>
      </c>
      <c r="F271">
        <v>1</v>
      </c>
      <c r="G271" s="16" t="s">
        <v>112</v>
      </c>
      <c r="H271" s="11" t="s">
        <v>2</v>
      </c>
      <c r="I271">
        <v>1</v>
      </c>
      <c r="J271">
        <v>0</v>
      </c>
      <c r="K271">
        <v>1</v>
      </c>
      <c r="L271">
        <v>1</v>
      </c>
      <c r="M271">
        <v>3</v>
      </c>
      <c r="N271">
        <v>5</v>
      </c>
      <c r="O271">
        <v>2</v>
      </c>
      <c r="P271">
        <v>0</v>
      </c>
      <c r="Q271">
        <v>1</v>
      </c>
      <c r="R271">
        <v>8</v>
      </c>
      <c r="S271">
        <v>6</v>
      </c>
      <c r="T271">
        <v>8</v>
      </c>
      <c r="U271">
        <v>3</v>
      </c>
      <c r="V271">
        <v>5</v>
      </c>
      <c r="W271">
        <v>28</v>
      </c>
      <c r="X271">
        <v>16</v>
      </c>
      <c r="Y271" s="15">
        <v>12.534090909090908</v>
      </c>
      <c r="Z271">
        <v>150</v>
      </c>
      <c r="AA271">
        <v>88</v>
      </c>
      <c r="AB271" s="25">
        <v>10</v>
      </c>
      <c r="AC271" s="25">
        <v>12.833333333333332</v>
      </c>
      <c r="AD271" s="25">
        <v>2.8333333333333321</v>
      </c>
      <c r="AE271" s="25">
        <f>Table3[[#This Row],[flies_out]]/Table3[[#This Row],[flies_in]]</f>
        <v>0.58666666666666667</v>
      </c>
    </row>
    <row r="272" spans="1:31" x14ac:dyDescent="0.35">
      <c r="A272" s="16">
        <v>15</v>
      </c>
      <c r="B272" s="16" t="s">
        <v>117</v>
      </c>
      <c r="C272">
        <v>3</v>
      </c>
      <c r="D272" s="17" t="s">
        <v>104</v>
      </c>
      <c r="E272" t="s">
        <v>1</v>
      </c>
      <c r="F272">
        <v>1</v>
      </c>
      <c r="G272" s="16" t="s">
        <v>113</v>
      </c>
      <c r="H272" s="11" t="s">
        <v>0</v>
      </c>
      <c r="I272">
        <v>1</v>
      </c>
      <c r="J272">
        <v>6</v>
      </c>
      <c r="K272">
        <v>5</v>
      </c>
      <c r="L272">
        <v>5</v>
      </c>
      <c r="M272">
        <v>10</v>
      </c>
      <c r="N272">
        <v>7</v>
      </c>
      <c r="O272">
        <v>5</v>
      </c>
      <c r="P272">
        <v>11</v>
      </c>
      <c r="Q272">
        <v>2</v>
      </c>
      <c r="R272">
        <v>2</v>
      </c>
      <c r="S272">
        <v>4</v>
      </c>
      <c r="T272">
        <v>3</v>
      </c>
      <c r="U272">
        <v>2</v>
      </c>
      <c r="V272">
        <v>3</v>
      </c>
      <c r="W272">
        <v>2</v>
      </c>
      <c r="X272">
        <v>1</v>
      </c>
      <c r="Y272" s="15">
        <v>7.1739130434782608</v>
      </c>
      <c r="Z272">
        <v>100</v>
      </c>
      <c r="AA272">
        <v>69</v>
      </c>
      <c r="AB272" s="25">
        <v>10</v>
      </c>
      <c r="AC272" s="25">
        <v>12.866666666666667</v>
      </c>
      <c r="AD272" s="25">
        <v>2.8666666666666671</v>
      </c>
      <c r="AE272" s="25">
        <f>Table3[[#This Row],[flies_out]]/Table3[[#This Row],[flies_in]]</f>
        <v>0.69</v>
      </c>
    </row>
    <row r="273" spans="1:31" x14ac:dyDescent="0.35">
      <c r="A273" s="16">
        <v>15</v>
      </c>
      <c r="B273" s="16" t="s">
        <v>117</v>
      </c>
      <c r="C273">
        <v>3</v>
      </c>
      <c r="D273" s="17" t="s">
        <v>104</v>
      </c>
      <c r="E273" t="s">
        <v>1</v>
      </c>
      <c r="F273">
        <v>1</v>
      </c>
      <c r="G273" s="16" t="s">
        <v>1</v>
      </c>
      <c r="H273" s="11" t="s">
        <v>0</v>
      </c>
      <c r="I273">
        <v>1</v>
      </c>
      <c r="J273">
        <v>9</v>
      </c>
      <c r="K273">
        <v>13</v>
      </c>
      <c r="L273">
        <v>4</v>
      </c>
      <c r="M273">
        <v>2</v>
      </c>
      <c r="N273">
        <v>2</v>
      </c>
      <c r="O273">
        <v>5</v>
      </c>
      <c r="P273">
        <v>9</v>
      </c>
      <c r="Q273">
        <v>17</v>
      </c>
      <c r="R273">
        <v>4</v>
      </c>
      <c r="S273">
        <v>6</v>
      </c>
      <c r="T273">
        <v>1</v>
      </c>
      <c r="U273">
        <v>2</v>
      </c>
      <c r="V273">
        <v>3</v>
      </c>
      <c r="W273">
        <v>2</v>
      </c>
      <c r="X273">
        <v>0</v>
      </c>
      <c r="Y273" s="15">
        <v>7.15</v>
      </c>
      <c r="Z273">
        <v>125</v>
      </c>
      <c r="AA273">
        <v>80</v>
      </c>
      <c r="AB273" s="25">
        <v>10</v>
      </c>
      <c r="AC273" s="25">
        <v>12.899999999999999</v>
      </c>
      <c r="AD273" s="25">
        <v>2.8999999999999986</v>
      </c>
      <c r="AE273" s="25">
        <f>Table3[[#This Row],[flies_out]]/Table3[[#This Row],[flies_in]]</f>
        <v>0.64</v>
      </c>
    </row>
    <row r="274" spans="1:31" x14ac:dyDescent="0.35">
      <c r="A274" s="16">
        <v>15</v>
      </c>
      <c r="B274" s="16" t="s">
        <v>117</v>
      </c>
      <c r="C274">
        <v>3</v>
      </c>
      <c r="D274" s="17" t="s">
        <v>104</v>
      </c>
      <c r="E274" t="s">
        <v>1</v>
      </c>
      <c r="F274">
        <v>1</v>
      </c>
      <c r="G274" s="16" t="s">
        <v>114</v>
      </c>
      <c r="H274" s="11" t="s">
        <v>2</v>
      </c>
      <c r="I274">
        <v>4</v>
      </c>
      <c r="J274">
        <v>3</v>
      </c>
      <c r="K274">
        <v>1</v>
      </c>
      <c r="L274">
        <v>3</v>
      </c>
      <c r="M274">
        <v>5</v>
      </c>
      <c r="N274">
        <v>9</v>
      </c>
      <c r="O274">
        <v>6</v>
      </c>
      <c r="P274">
        <v>8</v>
      </c>
      <c r="Q274">
        <v>6</v>
      </c>
      <c r="R274">
        <v>0</v>
      </c>
      <c r="S274">
        <v>7</v>
      </c>
      <c r="T274">
        <v>6</v>
      </c>
      <c r="U274">
        <v>9</v>
      </c>
      <c r="V274">
        <v>7</v>
      </c>
      <c r="W274">
        <v>2</v>
      </c>
      <c r="X274">
        <v>0</v>
      </c>
      <c r="Y274" s="15">
        <v>8.6578947368421044</v>
      </c>
      <c r="Z274">
        <v>150</v>
      </c>
      <c r="AA274">
        <v>76</v>
      </c>
      <c r="AB274" s="25">
        <v>10</v>
      </c>
      <c r="AC274" s="25">
        <v>13.016666666666666</v>
      </c>
      <c r="AD274" s="25">
        <v>3.0166666666666657</v>
      </c>
      <c r="AE274" s="25">
        <f>Table3[[#This Row],[flies_out]]/Table3[[#This Row],[flies_in]]</f>
        <v>0.50666666666666671</v>
      </c>
    </row>
    <row r="275" spans="1:31" x14ac:dyDescent="0.35">
      <c r="A275" s="16">
        <v>15</v>
      </c>
      <c r="B275" s="16" t="s">
        <v>118</v>
      </c>
      <c r="C275">
        <v>3</v>
      </c>
      <c r="D275" s="17" t="s">
        <v>104</v>
      </c>
      <c r="E275" t="s">
        <v>1</v>
      </c>
      <c r="F275">
        <v>2</v>
      </c>
      <c r="G275" s="16" t="s">
        <v>112</v>
      </c>
      <c r="H275" s="11" t="s">
        <v>2</v>
      </c>
      <c r="I275">
        <v>0</v>
      </c>
      <c r="J275">
        <v>2</v>
      </c>
      <c r="K275">
        <v>3</v>
      </c>
      <c r="L275">
        <v>4</v>
      </c>
      <c r="M275">
        <v>6</v>
      </c>
      <c r="N275">
        <v>6</v>
      </c>
      <c r="O275">
        <v>3</v>
      </c>
      <c r="P275">
        <v>0</v>
      </c>
      <c r="Q275">
        <v>1</v>
      </c>
      <c r="R275">
        <v>5</v>
      </c>
      <c r="S275">
        <v>6</v>
      </c>
      <c r="T275">
        <v>0</v>
      </c>
      <c r="U275">
        <v>11</v>
      </c>
      <c r="V275">
        <v>9</v>
      </c>
      <c r="W275">
        <v>37</v>
      </c>
      <c r="X275">
        <v>20</v>
      </c>
      <c r="Y275" s="15">
        <v>12.256637168141593</v>
      </c>
      <c r="Z275">
        <v>150</v>
      </c>
      <c r="AA275">
        <v>113</v>
      </c>
      <c r="AB275" s="25">
        <v>13.5</v>
      </c>
      <c r="AC275" s="25">
        <v>17.533333333333331</v>
      </c>
      <c r="AD275" s="25">
        <v>4.0333333333333314</v>
      </c>
      <c r="AE275" s="25">
        <f>Table3[[#This Row],[flies_out]]/Table3[[#This Row],[flies_in]]</f>
        <v>0.7533333333333333</v>
      </c>
    </row>
    <row r="276" spans="1:31" x14ac:dyDescent="0.35">
      <c r="A276" s="16">
        <v>15</v>
      </c>
      <c r="B276" s="16" t="s">
        <v>118</v>
      </c>
      <c r="C276">
        <v>3</v>
      </c>
      <c r="D276" s="17" t="s">
        <v>104</v>
      </c>
      <c r="E276" t="s">
        <v>1</v>
      </c>
      <c r="F276">
        <v>2</v>
      </c>
      <c r="G276" s="16" t="s">
        <v>113</v>
      </c>
      <c r="H276" s="11" t="s">
        <v>0</v>
      </c>
      <c r="I276">
        <v>11</v>
      </c>
      <c r="J276">
        <v>7</v>
      </c>
      <c r="K276">
        <v>7</v>
      </c>
      <c r="L276">
        <v>10</v>
      </c>
      <c r="M276">
        <v>15</v>
      </c>
      <c r="N276">
        <v>15</v>
      </c>
      <c r="O276">
        <v>9</v>
      </c>
      <c r="P276">
        <v>9</v>
      </c>
      <c r="Q276">
        <v>5</v>
      </c>
      <c r="R276">
        <v>5</v>
      </c>
      <c r="S276">
        <v>4</v>
      </c>
      <c r="T276">
        <v>5</v>
      </c>
      <c r="U276">
        <v>0</v>
      </c>
      <c r="V276">
        <v>1</v>
      </c>
      <c r="W276">
        <v>1</v>
      </c>
      <c r="X276">
        <v>0</v>
      </c>
      <c r="Y276" s="15">
        <v>5.9038461538461542</v>
      </c>
      <c r="Z276">
        <v>125</v>
      </c>
      <c r="AA276">
        <v>104</v>
      </c>
      <c r="AB276" s="25">
        <v>13.5</v>
      </c>
      <c r="AC276" s="25">
        <v>17.566666666666666</v>
      </c>
      <c r="AD276" s="25">
        <v>4.0666666666666664</v>
      </c>
      <c r="AE276" s="25">
        <f>Table3[[#This Row],[flies_out]]/Table3[[#This Row],[flies_in]]</f>
        <v>0.83199999999999996</v>
      </c>
    </row>
    <row r="277" spans="1:31" x14ac:dyDescent="0.35">
      <c r="A277" s="16">
        <v>15</v>
      </c>
      <c r="B277" s="16" t="s">
        <v>118</v>
      </c>
      <c r="C277">
        <v>3</v>
      </c>
      <c r="D277" s="17" t="s">
        <v>104</v>
      </c>
      <c r="E277" t="s">
        <v>1</v>
      </c>
      <c r="F277">
        <v>2</v>
      </c>
      <c r="G277" s="16" t="s">
        <v>114</v>
      </c>
      <c r="H277" s="11" t="s">
        <v>2</v>
      </c>
      <c r="I277">
        <v>1</v>
      </c>
      <c r="J277">
        <v>3</v>
      </c>
      <c r="K277">
        <v>7</v>
      </c>
      <c r="L277">
        <v>5</v>
      </c>
      <c r="M277">
        <v>17</v>
      </c>
      <c r="N277">
        <v>7</v>
      </c>
      <c r="O277">
        <v>7</v>
      </c>
      <c r="P277">
        <v>15</v>
      </c>
      <c r="Q277">
        <v>2</v>
      </c>
      <c r="R277">
        <v>0</v>
      </c>
      <c r="S277">
        <v>6</v>
      </c>
      <c r="T277">
        <v>5</v>
      </c>
      <c r="U277">
        <v>9</v>
      </c>
      <c r="V277">
        <v>4</v>
      </c>
      <c r="W277">
        <v>6</v>
      </c>
      <c r="X277">
        <v>1</v>
      </c>
      <c r="Y277" s="15">
        <v>8.0736842105263165</v>
      </c>
      <c r="Z277">
        <v>150</v>
      </c>
      <c r="AA277">
        <v>95</v>
      </c>
      <c r="AB277" s="25">
        <v>13.5</v>
      </c>
      <c r="AC277" s="25">
        <v>17.616666666666667</v>
      </c>
      <c r="AD277" s="25">
        <v>4.1166666666666671</v>
      </c>
      <c r="AE277" s="25">
        <f>Table3[[#This Row],[flies_out]]/Table3[[#This Row],[flies_in]]</f>
        <v>0.6333333333333333</v>
      </c>
    </row>
    <row r="278" spans="1:31" x14ac:dyDescent="0.35">
      <c r="A278" s="16">
        <v>15</v>
      </c>
      <c r="B278" s="16" t="s">
        <v>117</v>
      </c>
      <c r="C278">
        <v>4</v>
      </c>
      <c r="D278" s="17" t="s">
        <v>104</v>
      </c>
      <c r="E278" t="s">
        <v>1</v>
      </c>
      <c r="F278">
        <v>3</v>
      </c>
      <c r="G278" s="16" t="s">
        <v>112</v>
      </c>
      <c r="H278" s="11" t="s">
        <v>2</v>
      </c>
      <c r="I278">
        <v>0</v>
      </c>
      <c r="J278">
        <v>0</v>
      </c>
      <c r="K278">
        <v>1</v>
      </c>
      <c r="L278">
        <v>0</v>
      </c>
      <c r="M278">
        <v>6</v>
      </c>
      <c r="N278">
        <v>2</v>
      </c>
      <c r="O278">
        <v>0</v>
      </c>
      <c r="P278">
        <v>1</v>
      </c>
      <c r="Q278">
        <v>1</v>
      </c>
      <c r="R278">
        <v>5</v>
      </c>
      <c r="S278">
        <v>4</v>
      </c>
      <c r="T278">
        <v>8</v>
      </c>
      <c r="U278">
        <v>8</v>
      </c>
      <c r="V278">
        <v>9</v>
      </c>
      <c r="W278">
        <v>25</v>
      </c>
      <c r="X278">
        <v>17</v>
      </c>
      <c r="Y278" s="15">
        <v>12.977011494252874</v>
      </c>
      <c r="Z278">
        <v>150</v>
      </c>
      <c r="AA278">
        <v>87</v>
      </c>
      <c r="AB278" s="25">
        <v>9.1666666666666661</v>
      </c>
      <c r="AC278" s="25">
        <v>12.95</v>
      </c>
      <c r="AD278" s="25">
        <v>3.7833333333333332</v>
      </c>
      <c r="AE278" s="25">
        <f>Table3[[#This Row],[flies_out]]/Table3[[#This Row],[flies_in]]</f>
        <v>0.57999999999999996</v>
      </c>
    </row>
    <row r="279" spans="1:31" x14ac:dyDescent="0.35">
      <c r="A279" s="16">
        <v>15</v>
      </c>
      <c r="B279" s="16" t="s">
        <v>117</v>
      </c>
      <c r="C279">
        <v>4</v>
      </c>
      <c r="D279" s="17" t="s">
        <v>104</v>
      </c>
      <c r="E279" t="s">
        <v>1</v>
      </c>
      <c r="F279">
        <v>3</v>
      </c>
      <c r="G279" s="16" t="s">
        <v>113</v>
      </c>
      <c r="H279" s="11" t="s">
        <v>0</v>
      </c>
      <c r="I279">
        <v>7</v>
      </c>
      <c r="J279">
        <v>3</v>
      </c>
      <c r="K279">
        <v>2</v>
      </c>
      <c r="L279">
        <v>2</v>
      </c>
      <c r="M279">
        <v>4</v>
      </c>
      <c r="N279">
        <v>9</v>
      </c>
      <c r="O279">
        <v>5</v>
      </c>
      <c r="P279">
        <v>5</v>
      </c>
      <c r="Q279">
        <v>2</v>
      </c>
      <c r="R279">
        <v>2</v>
      </c>
      <c r="S279">
        <v>4</v>
      </c>
      <c r="T279">
        <v>6</v>
      </c>
      <c r="U279">
        <v>1</v>
      </c>
      <c r="V279">
        <v>2</v>
      </c>
      <c r="W279">
        <v>1</v>
      </c>
      <c r="X279">
        <v>1</v>
      </c>
      <c r="Y279" s="15">
        <v>7.1785714285714288</v>
      </c>
      <c r="Z279">
        <v>125</v>
      </c>
      <c r="AA279">
        <v>56</v>
      </c>
      <c r="AB279" s="25">
        <v>9.1666666666666661</v>
      </c>
      <c r="AC279" s="25">
        <v>13</v>
      </c>
      <c r="AD279" s="25">
        <v>3.8333333333333339</v>
      </c>
      <c r="AE279" s="25">
        <f>Table3[[#This Row],[flies_out]]/Table3[[#This Row],[flies_in]]</f>
        <v>0.44800000000000001</v>
      </c>
    </row>
    <row r="280" spans="1:31" x14ac:dyDescent="0.35">
      <c r="A280" s="16">
        <v>15</v>
      </c>
      <c r="B280" s="16" t="s">
        <v>117</v>
      </c>
      <c r="C280">
        <v>4</v>
      </c>
      <c r="D280" s="17" t="s">
        <v>104</v>
      </c>
      <c r="E280" t="s">
        <v>1</v>
      </c>
      <c r="F280">
        <v>3</v>
      </c>
      <c r="G280" s="16" t="s">
        <v>1</v>
      </c>
      <c r="H280" s="11" t="s">
        <v>0</v>
      </c>
      <c r="I280">
        <v>0</v>
      </c>
      <c r="J280">
        <v>2</v>
      </c>
      <c r="K280">
        <v>9</v>
      </c>
      <c r="L280">
        <v>2</v>
      </c>
      <c r="M280">
        <v>1</v>
      </c>
      <c r="N280">
        <v>5</v>
      </c>
      <c r="O280">
        <v>5</v>
      </c>
      <c r="P280">
        <v>13</v>
      </c>
      <c r="Q280">
        <v>12</v>
      </c>
      <c r="R280">
        <v>5</v>
      </c>
      <c r="S280">
        <v>9</v>
      </c>
      <c r="T280">
        <v>3</v>
      </c>
      <c r="U280">
        <v>2</v>
      </c>
      <c r="V280">
        <v>1</v>
      </c>
      <c r="W280">
        <v>2</v>
      </c>
      <c r="X280">
        <v>7</v>
      </c>
      <c r="Y280" s="15">
        <v>8.8205128205128212</v>
      </c>
      <c r="Z280">
        <v>150</v>
      </c>
      <c r="AA280">
        <v>78</v>
      </c>
      <c r="AB280" s="25">
        <v>9.1666666666666661</v>
      </c>
      <c r="AC280" s="25">
        <v>13.033333333333331</v>
      </c>
      <c r="AD280" s="25">
        <v>3.8666666666666654</v>
      </c>
      <c r="AE280" s="25">
        <f>Table3[[#This Row],[flies_out]]/Table3[[#This Row],[flies_in]]</f>
        <v>0.52</v>
      </c>
    </row>
    <row r="281" spans="1:31" x14ac:dyDescent="0.35">
      <c r="A281" s="16">
        <v>15</v>
      </c>
      <c r="B281" s="16" t="s">
        <v>117</v>
      </c>
      <c r="C281">
        <v>4</v>
      </c>
      <c r="D281" s="17" t="s">
        <v>104</v>
      </c>
      <c r="E281" t="s">
        <v>1</v>
      </c>
      <c r="F281">
        <v>3</v>
      </c>
      <c r="G281" s="16" t="s">
        <v>114</v>
      </c>
      <c r="H281" s="11" t="s">
        <v>2</v>
      </c>
      <c r="I281">
        <v>1</v>
      </c>
      <c r="J281">
        <v>4</v>
      </c>
      <c r="K281">
        <v>2</v>
      </c>
      <c r="L281">
        <v>2</v>
      </c>
      <c r="M281">
        <v>2</v>
      </c>
      <c r="N281">
        <v>7</v>
      </c>
      <c r="O281">
        <v>4</v>
      </c>
      <c r="P281">
        <v>5</v>
      </c>
      <c r="Q281">
        <v>3</v>
      </c>
      <c r="R281">
        <v>0</v>
      </c>
      <c r="S281">
        <v>7</v>
      </c>
      <c r="T281">
        <v>4</v>
      </c>
      <c r="U281">
        <v>10</v>
      </c>
      <c r="V281">
        <v>8</v>
      </c>
      <c r="W281">
        <v>5</v>
      </c>
      <c r="X281">
        <v>3</v>
      </c>
      <c r="Y281" s="15">
        <v>9.8507462686567155</v>
      </c>
      <c r="Z281">
        <v>150</v>
      </c>
      <c r="AA281">
        <v>67</v>
      </c>
      <c r="AB281" s="25">
        <v>9.1666666666666661</v>
      </c>
      <c r="AC281" s="25">
        <v>13.066666666666666</v>
      </c>
      <c r="AD281" s="25">
        <v>3.9000000000000004</v>
      </c>
      <c r="AE281" s="25">
        <f>Table3[[#This Row],[flies_out]]/Table3[[#This Row],[flies_in]]</f>
        <v>0.44666666666666666</v>
      </c>
    </row>
    <row r="282" spans="1:31" x14ac:dyDescent="0.35">
      <c r="A282" s="16">
        <v>15</v>
      </c>
      <c r="B282" s="16" t="s">
        <v>118</v>
      </c>
      <c r="C282">
        <v>4</v>
      </c>
      <c r="D282" s="17" t="s">
        <v>104</v>
      </c>
      <c r="E282" t="s">
        <v>1</v>
      </c>
      <c r="F282">
        <v>4</v>
      </c>
      <c r="G282" s="16" t="s">
        <v>112</v>
      </c>
      <c r="H282" s="11" t="s">
        <v>2</v>
      </c>
      <c r="I282">
        <v>2</v>
      </c>
      <c r="J282">
        <v>2</v>
      </c>
      <c r="K282">
        <v>3</v>
      </c>
      <c r="L282">
        <v>0</v>
      </c>
      <c r="M282">
        <v>4</v>
      </c>
      <c r="N282">
        <v>6</v>
      </c>
      <c r="O282">
        <v>2</v>
      </c>
      <c r="P282">
        <v>2</v>
      </c>
      <c r="Q282">
        <v>3</v>
      </c>
      <c r="R282">
        <v>5</v>
      </c>
      <c r="S282">
        <v>4</v>
      </c>
      <c r="T282">
        <v>0</v>
      </c>
      <c r="U282">
        <v>5</v>
      </c>
      <c r="V282">
        <v>9</v>
      </c>
      <c r="W282">
        <v>57</v>
      </c>
      <c r="X282">
        <v>24</v>
      </c>
      <c r="Y282" s="15">
        <v>12.90625</v>
      </c>
      <c r="Z282">
        <v>150</v>
      </c>
      <c r="AA282">
        <v>128</v>
      </c>
      <c r="AB282" s="25">
        <v>13.416666666666668</v>
      </c>
      <c r="AC282" s="25">
        <v>17.75</v>
      </c>
      <c r="AD282" s="25">
        <v>4.3333333333333321</v>
      </c>
      <c r="AE282" s="25">
        <f>Table3[[#This Row],[flies_out]]/Table3[[#This Row],[flies_in]]</f>
        <v>0.85333333333333339</v>
      </c>
    </row>
    <row r="283" spans="1:31" x14ac:dyDescent="0.35">
      <c r="A283" s="16">
        <v>15</v>
      </c>
      <c r="B283" s="16" t="s">
        <v>118</v>
      </c>
      <c r="C283">
        <v>4</v>
      </c>
      <c r="D283" s="17" t="s">
        <v>104</v>
      </c>
      <c r="E283" t="s">
        <v>1</v>
      </c>
      <c r="F283">
        <v>4</v>
      </c>
      <c r="G283" s="16" t="s">
        <v>113</v>
      </c>
      <c r="H283" s="11" t="s">
        <v>0</v>
      </c>
      <c r="I283">
        <v>11</v>
      </c>
      <c r="J283">
        <v>7</v>
      </c>
      <c r="K283">
        <v>9</v>
      </c>
      <c r="L283">
        <v>29</v>
      </c>
      <c r="M283">
        <v>12</v>
      </c>
      <c r="N283">
        <v>21</v>
      </c>
      <c r="O283">
        <v>10</v>
      </c>
      <c r="P283">
        <v>11</v>
      </c>
      <c r="Q283">
        <v>7</v>
      </c>
      <c r="R283">
        <v>6</v>
      </c>
      <c r="S283">
        <v>4</v>
      </c>
      <c r="T283">
        <v>4</v>
      </c>
      <c r="U283">
        <v>5</v>
      </c>
      <c r="V283">
        <v>5</v>
      </c>
      <c r="W283">
        <v>3</v>
      </c>
      <c r="X283">
        <v>0</v>
      </c>
      <c r="Y283" s="15">
        <v>6.2986111111111107</v>
      </c>
      <c r="Z283">
        <v>150</v>
      </c>
      <c r="AA283">
        <v>144</v>
      </c>
      <c r="AB283" s="25">
        <v>13.416666666666668</v>
      </c>
      <c r="AC283" s="25">
        <v>17.783333333333335</v>
      </c>
      <c r="AD283" s="25">
        <v>4.3666666666666671</v>
      </c>
      <c r="AE283" s="25">
        <f>Table3[[#This Row],[flies_out]]/Table3[[#This Row],[flies_in]]</f>
        <v>0.96</v>
      </c>
    </row>
    <row r="284" spans="1:31" x14ac:dyDescent="0.35">
      <c r="A284" s="16">
        <v>15</v>
      </c>
      <c r="B284" s="16" t="s">
        <v>118</v>
      </c>
      <c r="C284">
        <v>4</v>
      </c>
      <c r="D284" s="17" t="s">
        <v>104</v>
      </c>
      <c r="E284" t="s">
        <v>1</v>
      </c>
      <c r="F284">
        <v>4</v>
      </c>
      <c r="G284" s="16" t="s">
        <v>1</v>
      </c>
      <c r="H284" s="11" t="s">
        <v>0</v>
      </c>
      <c r="I284">
        <v>12</v>
      </c>
      <c r="J284">
        <v>11</v>
      </c>
      <c r="K284">
        <v>16</v>
      </c>
      <c r="L284">
        <v>4</v>
      </c>
      <c r="M284">
        <v>7</v>
      </c>
      <c r="N284">
        <v>6</v>
      </c>
      <c r="O284">
        <v>8</v>
      </c>
      <c r="P284">
        <v>13</v>
      </c>
      <c r="Q284">
        <v>2</v>
      </c>
      <c r="R284">
        <v>4</v>
      </c>
      <c r="S284">
        <v>2</v>
      </c>
      <c r="T284">
        <v>16</v>
      </c>
      <c r="U284">
        <v>5</v>
      </c>
      <c r="V284">
        <v>1</v>
      </c>
      <c r="W284">
        <v>0</v>
      </c>
      <c r="X284">
        <v>2</v>
      </c>
      <c r="Y284" s="15">
        <v>6.5321100917431192</v>
      </c>
      <c r="Z284">
        <v>100</v>
      </c>
      <c r="AA284">
        <v>109</v>
      </c>
      <c r="AB284" s="25">
        <v>13.416666666666668</v>
      </c>
      <c r="AC284" s="25">
        <v>17.833333333333336</v>
      </c>
      <c r="AD284" s="25">
        <v>4.4166666666666679</v>
      </c>
      <c r="AE284" s="25">
        <f>Table3[[#This Row],[flies_out]]/Table3[[#This Row],[flies_in]]</f>
        <v>1.0900000000000001</v>
      </c>
    </row>
    <row r="285" spans="1:31" x14ac:dyDescent="0.35">
      <c r="A285" s="16">
        <v>15</v>
      </c>
      <c r="B285" s="16" t="s">
        <v>118</v>
      </c>
      <c r="C285">
        <v>4</v>
      </c>
      <c r="D285" s="17" t="s">
        <v>104</v>
      </c>
      <c r="E285" t="s">
        <v>1</v>
      </c>
      <c r="F285">
        <v>4</v>
      </c>
      <c r="G285" s="16" t="s">
        <v>114</v>
      </c>
      <c r="H285" s="11" t="s">
        <v>2</v>
      </c>
      <c r="I285">
        <v>1</v>
      </c>
      <c r="J285">
        <v>6</v>
      </c>
      <c r="K285">
        <v>6</v>
      </c>
      <c r="L285">
        <v>8</v>
      </c>
      <c r="M285">
        <v>3</v>
      </c>
      <c r="N285">
        <v>10</v>
      </c>
      <c r="O285">
        <v>3</v>
      </c>
      <c r="P285">
        <v>21</v>
      </c>
      <c r="Q285">
        <v>7</v>
      </c>
      <c r="R285">
        <v>1</v>
      </c>
      <c r="S285">
        <v>2</v>
      </c>
      <c r="T285">
        <v>5</v>
      </c>
      <c r="U285">
        <v>10</v>
      </c>
      <c r="V285">
        <v>3</v>
      </c>
      <c r="W285">
        <v>3</v>
      </c>
      <c r="X285">
        <v>1</v>
      </c>
      <c r="Y285" s="15">
        <v>7.9444444444444446</v>
      </c>
      <c r="Z285">
        <v>150</v>
      </c>
      <c r="AA285">
        <v>90</v>
      </c>
      <c r="AB285" s="25">
        <v>13.416666666666668</v>
      </c>
      <c r="AC285" s="25">
        <v>17.866666666666667</v>
      </c>
      <c r="AD285" s="25">
        <v>4.4499999999999993</v>
      </c>
      <c r="AE285" s="25">
        <f>Table3[[#This Row],[flies_out]]/Table3[[#This Row],[flies_in]]</f>
        <v>0.6</v>
      </c>
    </row>
    <row r="286" spans="1:31" x14ac:dyDescent="0.35">
      <c r="A286" s="16">
        <v>16</v>
      </c>
      <c r="B286" s="16" t="s">
        <v>117</v>
      </c>
      <c r="C286" s="16">
        <v>1</v>
      </c>
      <c r="D286" s="17" t="s">
        <v>104</v>
      </c>
      <c r="E286" s="16" t="s">
        <v>3</v>
      </c>
      <c r="F286" s="16">
        <v>1</v>
      </c>
      <c r="G286" s="16" t="s">
        <v>112</v>
      </c>
      <c r="H286" s="11" t="s">
        <v>0</v>
      </c>
      <c r="I286">
        <v>4</v>
      </c>
      <c r="J286">
        <v>5</v>
      </c>
      <c r="K286">
        <v>6</v>
      </c>
      <c r="L286">
        <v>4</v>
      </c>
      <c r="M286">
        <v>7</v>
      </c>
      <c r="N286">
        <v>2</v>
      </c>
      <c r="O286">
        <v>2</v>
      </c>
      <c r="P286">
        <v>0</v>
      </c>
      <c r="Q286">
        <v>3</v>
      </c>
      <c r="R286">
        <v>0</v>
      </c>
      <c r="S286">
        <v>3</v>
      </c>
      <c r="T286">
        <v>0</v>
      </c>
      <c r="U286">
        <v>3</v>
      </c>
      <c r="V286">
        <v>1</v>
      </c>
      <c r="W286">
        <v>12</v>
      </c>
      <c r="X286">
        <v>6</v>
      </c>
      <c r="Y286" s="15">
        <v>8.5862068965517242</v>
      </c>
      <c r="Z286">
        <v>125</v>
      </c>
      <c r="AA286">
        <v>58</v>
      </c>
      <c r="AB286" s="25">
        <v>9.3333333333333339</v>
      </c>
      <c r="AC286" s="25">
        <v>12.583333333333334</v>
      </c>
      <c r="AD286" s="25">
        <v>3.25</v>
      </c>
      <c r="AE286" s="25">
        <f>Table3[[#This Row],[flies_out]]/Table3[[#This Row],[flies_in]]</f>
        <v>0.46400000000000002</v>
      </c>
    </row>
    <row r="287" spans="1:31" x14ac:dyDescent="0.35">
      <c r="A287" s="16">
        <v>16</v>
      </c>
      <c r="B287" s="16" t="s">
        <v>117</v>
      </c>
      <c r="C287" s="16">
        <v>1</v>
      </c>
      <c r="D287" s="17" t="s">
        <v>104</v>
      </c>
      <c r="E287" s="16" t="s">
        <v>3</v>
      </c>
      <c r="F287" s="16">
        <v>1</v>
      </c>
      <c r="G287" s="16" t="s">
        <v>113</v>
      </c>
      <c r="H287" s="11" t="s">
        <v>2</v>
      </c>
      <c r="I287">
        <v>2</v>
      </c>
      <c r="J287">
        <v>2</v>
      </c>
      <c r="K287">
        <v>3</v>
      </c>
      <c r="L287">
        <v>2</v>
      </c>
      <c r="M287">
        <v>2</v>
      </c>
      <c r="N287">
        <v>1</v>
      </c>
      <c r="O287">
        <v>5</v>
      </c>
      <c r="P287">
        <v>7</v>
      </c>
      <c r="Q287">
        <v>14</v>
      </c>
      <c r="R287">
        <v>10</v>
      </c>
      <c r="S287">
        <v>13</v>
      </c>
      <c r="T287">
        <v>7</v>
      </c>
      <c r="U287">
        <v>10</v>
      </c>
      <c r="V287">
        <v>2</v>
      </c>
      <c r="W287">
        <v>2</v>
      </c>
      <c r="X287">
        <v>3</v>
      </c>
      <c r="Y287" s="15">
        <v>9.6352941176470583</v>
      </c>
      <c r="Z287">
        <v>150</v>
      </c>
      <c r="AA287">
        <v>85</v>
      </c>
      <c r="AB287" s="25">
        <v>9.3333333333333339</v>
      </c>
      <c r="AC287" s="25">
        <v>12.716666666666667</v>
      </c>
      <c r="AD287" s="25">
        <v>3.3833333333333329</v>
      </c>
      <c r="AE287" s="25">
        <f>Table3[[#This Row],[flies_out]]/Table3[[#This Row],[flies_in]]</f>
        <v>0.56666666666666665</v>
      </c>
    </row>
    <row r="288" spans="1:31" x14ac:dyDescent="0.35">
      <c r="A288" s="16">
        <v>16</v>
      </c>
      <c r="B288" s="16" t="s">
        <v>117</v>
      </c>
      <c r="C288" s="16">
        <v>1</v>
      </c>
      <c r="D288" s="17" t="s">
        <v>104</v>
      </c>
      <c r="E288" s="16" t="s">
        <v>3</v>
      </c>
      <c r="F288" s="16">
        <v>1</v>
      </c>
      <c r="G288" s="16" t="s">
        <v>1</v>
      </c>
      <c r="H288" s="11" t="s">
        <v>2</v>
      </c>
      <c r="I288">
        <v>19</v>
      </c>
      <c r="J288">
        <v>13</v>
      </c>
      <c r="K288">
        <v>13</v>
      </c>
      <c r="L288">
        <v>2</v>
      </c>
      <c r="M288">
        <v>9</v>
      </c>
      <c r="N288">
        <v>9</v>
      </c>
      <c r="O288">
        <v>4</v>
      </c>
      <c r="P288">
        <v>6</v>
      </c>
      <c r="Q288">
        <v>17</v>
      </c>
      <c r="R288">
        <v>5</v>
      </c>
      <c r="S288">
        <v>3</v>
      </c>
      <c r="T288">
        <v>2</v>
      </c>
      <c r="U288">
        <v>0</v>
      </c>
      <c r="V288">
        <v>1</v>
      </c>
      <c r="W288">
        <v>1</v>
      </c>
      <c r="X288">
        <v>3</v>
      </c>
      <c r="Y288" s="15">
        <v>5.6448598130841123</v>
      </c>
      <c r="Z288">
        <v>150</v>
      </c>
      <c r="AA288">
        <v>107</v>
      </c>
      <c r="AB288" s="25">
        <v>9.3333333333333339</v>
      </c>
      <c r="AC288" s="25">
        <v>12.783333333333333</v>
      </c>
      <c r="AD288" s="25">
        <v>3.4499999999999993</v>
      </c>
      <c r="AE288" s="25">
        <f>Table3[[#This Row],[flies_out]]/Table3[[#This Row],[flies_in]]</f>
        <v>0.71333333333333337</v>
      </c>
    </row>
    <row r="289" spans="1:31" x14ac:dyDescent="0.35">
      <c r="A289" s="16">
        <v>16</v>
      </c>
      <c r="B289" s="16" t="s">
        <v>117</v>
      </c>
      <c r="C289" s="16">
        <v>1</v>
      </c>
      <c r="D289" s="17" t="s">
        <v>104</v>
      </c>
      <c r="E289" s="16" t="s">
        <v>3</v>
      </c>
      <c r="F289" s="16">
        <v>1</v>
      </c>
      <c r="G289" s="16" t="s">
        <v>114</v>
      </c>
      <c r="H289" s="11" t="s">
        <v>0</v>
      </c>
      <c r="I289">
        <v>17</v>
      </c>
      <c r="J289">
        <v>19</v>
      </c>
      <c r="K289">
        <v>11</v>
      </c>
      <c r="L289">
        <v>8</v>
      </c>
      <c r="M289">
        <v>13</v>
      </c>
      <c r="N289">
        <v>10</v>
      </c>
      <c r="O289">
        <v>4</v>
      </c>
      <c r="P289">
        <v>12</v>
      </c>
      <c r="Q289">
        <v>10</v>
      </c>
      <c r="R289">
        <v>0</v>
      </c>
      <c r="S289">
        <v>2</v>
      </c>
      <c r="T289">
        <v>1</v>
      </c>
      <c r="U289">
        <v>1</v>
      </c>
      <c r="V289">
        <v>1</v>
      </c>
      <c r="W289">
        <v>0</v>
      </c>
      <c r="X289">
        <v>0</v>
      </c>
      <c r="Y289" s="15">
        <v>4.7706422018348622</v>
      </c>
      <c r="Z289">
        <v>150</v>
      </c>
      <c r="AA289">
        <v>109</v>
      </c>
      <c r="AB289" s="25">
        <v>9.3333333333333339</v>
      </c>
      <c r="AC289" s="25">
        <v>12.883333333333333</v>
      </c>
      <c r="AD289" s="25">
        <v>3.5499999999999989</v>
      </c>
      <c r="AE289" s="25">
        <f>Table3[[#This Row],[flies_out]]/Table3[[#This Row],[flies_in]]</f>
        <v>0.72666666666666668</v>
      </c>
    </row>
    <row r="290" spans="1:31" x14ac:dyDescent="0.35">
      <c r="A290" s="16">
        <v>16</v>
      </c>
      <c r="B290" s="16" t="s">
        <v>118</v>
      </c>
      <c r="C290" s="16">
        <v>1</v>
      </c>
      <c r="D290" s="17" t="s">
        <v>106</v>
      </c>
      <c r="E290" s="16" t="s">
        <v>3</v>
      </c>
      <c r="F290" s="16">
        <v>2</v>
      </c>
      <c r="G290" s="16" t="s">
        <v>112</v>
      </c>
      <c r="H290" s="11" t="s">
        <v>0</v>
      </c>
      <c r="I290">
        <v>18</v>
      </c>
      <c r="J290">
        <v>19</v>
      </c>
      <c r="K290">
        <v>14</v>
      </c>
      <c r="L290">
        <v>9</v>
      </c>
      <c r="M290">
        <v>15</v>
      </c>
      <c r="N290">
        <v>6</v>
      </c>
      <c r="O290">
        <v>2</v>
      </c>
      <c r="P290">
        <v>5</v>
      </c>
      <c r="Q290">
        <v>3</v>
      </c>
      <c r="R290">
        <v>2</v>
      </c>
      <c r="S290">
        <v>4</v>
      </c>
      <c r="T290">
        <v>1</v>
      </c>
      <c r="U290">
        <v>3</v>
      </c>
      <c r="V290">
        <v>1</v>
      </c>
      <c r="W290">
        <v>13</v>
      </c>
      <c r="X290">
        <v>0</v>
      </c>
      <c r="Y290" s="15">
        <v>5.6521739130434785</v>
      </c>
      <c r="Z290">
        <v>125</v>
      </c>
      <c r="AA290">
        <v>115</v>
      </c>
      <c r="AB290" s="25">
        <v>13.5</v>
      </c>
      <c r="AC290" s="25">
        <v>16.616666666666667</v>
      </c>
      <c r="AD290" s="25">
        <v>3.1166666666666671</v>
      </c>
      <c r="AE290" s="25">
        <f>Table3[[#This Row],[flies_out]]/Table3[[#This Row],[flies_in]]</f>
        <v>0.92</v>
      </c>
    </row>
    <row r="291" spans="1:31" x14ac:dyDescent="0.35">
      <c r="A291" s="16">
        <v>16</v>
      </c>
      <c r="B291" s="16" t="s">
        <v>118</v>
      </c>
      <c r="C291" s="16">
        <v>1</v>
      </c>
      <c r="D291" s="17" t="s">
        <v>106</v>
      </c>
      <c r="E291" s="16" t="s">
        <v>3</v>
      </c>
      <c r="F291" s="16">
        <v>2</v>
      </c>
      <c r="G291" s="16" t="s">
        <v>113</v>
      </c>
      <c r="H291" s="11" t="s">
        <v>2</v>
      </c>
      <c r="I291">
        <v>14</v>
      </c>
      <c r="J291">
        <v>15</v>
      </c>
      <c r="K291">
        <v>7</v>
      </c>
      <c r="L291">
        <v>8</v>
      </c>
      <c r="M291">
        <v>4</v>
      </c>
      <c r="N291">
        <v>4</v>
      </c>
      <c r="O291">
        <v>10</v>
      </c>
      <c r="P291">
        <v>7</v>
      </c>
      <c r="Q291">
        <v>3</v>
      </c>
      <c r="R291">
        <v>4</v>
      </c>
      <c r="S291">
        <v>2</v>
      </c>
      <c r="T291">
        <v>2</v>
      </c>
      <c r="U291">
        <v>2</v>
      </c>
      <c r="V291">
        <v>3</v>
      </c>
      <c r="W291">
        <v>2</v>
      </c>
      <c r="X291">
        <v>0</v>
      </c>
      <c r="Y291" s="15">
        <v>5.4942528735632186</v>
      </c>
      <c r="Z291">
        <v>125</v>
      </c>
      <c r="AA291">
        <v>87</v>
      </c>
      <c r="AB291" s="25">
        <v>13.5</v>
      </c>
      <c r="AC291" s="25">
        <v>16.666666666666664</v>
      </c>
      <c r="AD291" s="25">
        <v>3.1666666666666643</v>
      </c>
      <c r="AE291" s="25">
        <f>Table3[[#This Row],[flies_out]]/Table3[[#This Row],[flies_in]]</f>
        <v>0.69599999999999995</v>
      </c>
    </row>
    <row r="292" spans="1:31" x14ac:dyDescent="0.35">
      <c r="A292" s="16">
        <v>16</v>
      </c>
      <c r="B292" s="16" t="s">
        <v>118</v>
      </c>
      <c r="C292" s="16">
        <v>1</v>
      </c>
      <c r="D292" s="17" t="s">
        <v>106</v>
      </c>
      <c r="E292" s="16" t="s">
        <v>3</v>
      </c>
      <c r="F292" s="16">
        <v>2</v>
      </c>
      <c r="G292" s="16" t="s">
        <v>1</v>
      </c>
      <c r="H292" s="11" t="s">
        <v>2</v>
      </c>
      <c r="I292">
        <v>15</v>
      </c>
      <c r="J292">
        <v>27</v>
      </c>
      <c r="K292">
        <v>27</v>
      </c>
      <c r="L292">
        <v>3</v>
      </c>
      <c r="M292">
        <v>9</v>
      </c>
      <c r="N292">
        <v>13</v>
      </c>
      <c r="O292">
        <v>3</v>
      </c>
      <c r="P292">
        <v>2</v>
      </c>
      <c r="Q292">
        <v>11</v>
      </c>
      <c r="R292">
        <v>3</v>
      </c>
      <c r="S292">
        <v>3</v>
      </c>
      <c r="T292">
        <v>1</v>
      </c>
      <c r="U292">
        <v>2</v>
      </c>
      <c r="V292">
        <v>0</v>
      </c>
      <c r="W292">
        <v>0</v>
      </c>
      <c r="X292">
        <v>0</v>
      </c>
      <c r="Y292" s="15">
        <v>4.3865546218487399</v>
      </c>
      <c r="Z292">
        <v>150</v>
      </c>
      <c r="AA292">
        <v>119</v>
      </c>
      <c r="AB292" s="25">
        <v>13.5</v>
      </c>
      <c r="AC292" s="25">
        <v>16.733333333333334</v>
      </c>
      <c r="AD292" s="25">
        <v>3.2333333333333343</v>
      </c>
      <c r="AE292" s="25">
        <f>Table3[[#This Row],[flies_out]]/Table3[[#This Row],[flies_in]]</f>
        <v>0.79333333333333333</v>
      </c>
    </row>
    <row r="293" spans="1:31" x14ac:dyDescent="0.35">
      <c r="A293" s="16">
        <v>16</v>
      </c>
      <c r="B293" s="16" t="s">
        <v>118</v>
      </c>
      <c r="C293" s="16">
        <v>1</v>
      </c>
      <c r="D293" s="17" t="s">
        <v>106</v>
      </c>
      <c r="E293" s="16" t="s">
        <v>3</v>
      </c>
      <c r="F293" s="16">
        <v>2</v>
      </c>
      <c r="G293" s="16" t="s">
        <v>114</v>
      </c>
      <c r="H293" s="11" t="s">
        <v>0</v>
      </c>
      <c r="I293">
        <v>12</v>
      </c>
      <c r="J293">
        <v>24</v>
      </c>
      <c r="K293">
        <v>17</v>
      </c>
      <c r="L293">
        <v>20</v>
      </c>
      <c r="M293">
        <v>16</v>
      </c>
      <c r="N293">
        <v>19</v>
      </c>
      <c r="O293">
        <v>10</v>
      </c>
      <c r="P293">
        <v>6</v>
      </c>
      <c r="Q293">
        <v>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 s="15">
        <v>4.1349206349206353</v>
      </c>
      <c r="Z293">
        <v>150</v>
      </c>
      <c r="AA293">
        <v>126</v>
      </c>
      <c r="AB293" s="25">
        <v>13.5</v>
      </c>
      <c r="AC293" s="25">
        <v>16.783333333333331</v>
      </c>
      <c r="AD293" s="25">
        <v>3.2833333333333314</v>
      </c>
      <c r="AE293" s="25">
        <f>Table3[[#This Row],[flies_out]]/Table3[[#This Row],[flies_in]]</f>
        <v>0.84</v>
      </c>
    </row>
    <row r="294" spans="1:31" x14ac:dyDescent="0.35">
      <c r="A294" s="16">
        <v>16</v>
      </c>
      <c r="B294" s="16" t="s">
        <v>117</v>
      </c>
      <c r="C294" s="16">
        <v>2</v>
      </c>
      <c r="D294" s="17" t="s">
        <v>104</v>
      </c>
      <c r="E294" s="16" t="s">
        <v>3</v>
      </c>
      <c r="F294">
        <v>3</v>
      </c>
      <c r="G294" s="16" t="s">
        <v>112</v>
      </c>
      <c r="H294" s="11" t="s">
        <v>0</v>
      </c>
      <c r="I294">
        <v>2</v>
      </c>
      <c r="J294">
        <v>1</v>
      </c>
      <c r="K294">
        <v>2</v>
      </c>
      <c r="L294">
        <v>3</v>
      </c>
      <c r="M294">
        <v>5</v>
      </c>
      <c r="N294">
        <v>5</v>
      </c>
      <c r="O294">
        <v>2</v>
      </c>
      <c r="P294">
        <v>3</v>
      </c>
      <c r="Q294">
        <v>0</v>
      </c>
      <c r="R294">
        <v>3</v>
      </c>
      <c r="S294">
        <v>5</v>
      </c>
      <c r="T294">
        <v>5</v>
      </c>
      <c r="U294">
        <v>4</v>
      </c>
      <c r="V294">
        <v>2</v>
      </c>
      <c r="W294">
        <v>18</v>
      </c>
      <c r="X294">
        <v>3</v>
      </c>
      <c r="Y294" s="15">
        <v>10.444444444444445</v>
      </c>
      <c r="Z294">
        <v>100</v>
      </c>
      <c r="AA294">
        <v>63</v>
      </c>
      <c r="AB294" s="25">
        <v>9.5833333333333339</v>
      </c>
      <c r="AC294" s="25">
        <v>12.533333333333335</v>
      </c>
      <c r="AD294" s="25">
        <v>2.9500000000000011</v>
      </c>
      <c r="AE294" s="25">
        <f>Table3[[#This Row],[flies_out]]/Table3[[#This Row],[flies_in]]</f>
        <v>0.63</v>
      </c>
    </row>
    <row r="295" spans="1:31" x14ac:dyDescent="0.35">
      <c r="A295" s="16">
        <v>16</v>
      </c>
      <c r="B295" s="16" t="s">
        <v>117</v>
      </c>
      <c r="C295" s="16">
        <v>2</v>
      </c>
      <c r="D295" s="17" t="s">
        <v>104</v>
      </c>
      <c r="E295" s="16" t="s">
        <v>3</v>
      </c>
      <c r="F295">
        <v>3</v>
      </c>
      <c r="G295" s="16" t="s">
        <v>113</v>
      </c>
      <c r="H295" s="11" t="s">
        <v>2</v>
      </c>
      <c r="I295">
        <v>3</v>
      </c>
      <c r="J295">
        <v>3</v>
      </c>
      <c r="K295">
        <v>2</v>
      </c>
      <c r="L295">
        <v>3</v>
      </c>
      <c r="M295">
        <v>2</v>
      </c>
      <c r="N295">
        <v>10</v>
      </c>
      <c r="O295">
        <v>10</v>
      </c>
      <c r="P295">
        <v>11</v>
      </c>
      <c r="Q295">
        <v>10</v>
      </c>
      <c r="R295">
        <v>14</v>
      </c>
      <c r="S295">
        <v>14</v>
      </c>
      <c r="T295">
        <v>9</v>
      </c>
      <c r="U295">
        <v>5</v>
      </c>
      <c r="V295">
        <v>6</v>
      </c>
      <c r="W295">
        <v>3</v>
      </c>
      <c r="X295">
        <v>0</v>
      </c>
      <c r="Y295" s="15">
        <v>8.961904761904762</v>
      </c>
      <c r="Z295">
        <v>150</v>
      </c>
      <c r="AA295">
        <v>105</v>
      </c>
      <c r="AB295" s="25">
        <v>9.5833333333333339</v>
      </c>
      <c r="AC295" s="25">
        <v>12.583333333333334</v>
      </c>
      <c r="AD295" s="25">
        <v>3</v>
      </c>
      <c r="AE295" s="25">
        <f>Table3[[#This Row],[flies_out]]/Table3[[#This Row],[flies_in]]</f>
        <v>0.7</v>
      </c>
    </row>
    <row r="296" spans="1:31" x14ac:dyDescent="0.35">
      <c r="A296" s="16">
        <v>16</v>
      </c>
      <c r="B296" s="16" t="s">
        <v>117</v>
      </c>
      <c r="C296" s="16">
        <v>2</v>
      </c>
      <c r="D296" s="17" t="s">
        <v>104</v>
      </c>
      <c r="E296" s="16" t="s">
        <v>3</v>
      </c>
      <c r="F296">
        <v>3</v>
      </c>
      <c r="G296" s="16" t="s">
        <v>1</v>
      </c>
      <c r="H296" s="11" t="s">
        <v>2</v>
      </c>
      <c r="I296">
        <v>17</v>
      </c>
      <c r="J296">
        <v>17</v>
      </c>
      <c r="K296">
        <v>15</v>
      </c>
      <c r="L296">
        <v>4</v>
      </c>
      <c r="M296">
        <v>4</v>
      </c>
      <c r="N296">
        <v>7</v>
      </c>
      <c r="O296">
        <v>2</v>
      </c>
      <c r="P296">
        <v>5</v>
      </c>
      <c r="Q296">
        <v>20</v>
      </c>
      <c r="R296">
        <v>3</v>
      </c>
      <c r="S296">
        <v>2</v>
      </c>
      <c r="T296">
        <v>5</v>
      </c>
      <c r="U296">
        <v>2</v>
      </c>
      <c r="V296">
        <v>3</v>
      </c>
      <c r="W296">
        <v>3</v>
      </c>
      <c r="X296">
        <v>5</v>
      </c>
      <c r="Y296" s="15">
        <v>6.2543859649122808</v>
      </c>
      <c r="Z296">
        <v>150</v>
      </c>
      <c r="AA296">
        <v>114</v>
      </c>
      <c r="AB296" s="25">
        <v>9.5833333333333339</v>
      </c>
      <c r="AC296" s="25">
        <v>12.616666666666667</v>
      </c>
      <c r="AD296" s="25">
        <v>3.0333333333333332</v>
      </c>
      <c r="AE296" s="25">
        <f>Table3[[#This Row],[flies_out]]/Table3[[#This Row],[flies_in]]</f>
        <v>0.76</v>
      </c>
    </row>
    <row r="297" spans="1:31" x14ac:dyDescent="0.35">
      <c r="A297" s="16">
        <v>16</v>
      </c>
      <c r="B297" s="16" t="s">
        <v>117</v>
      </c>
      <c r="C297" s="16">
        <v>2</v>
      </c>
      <c r="D297" s="17" t="s">
        <v>104</v>
      </c>
      <c r="E297" s="16" t="s">
        <v>3</v>
      </c>
      <c r="F297">
        <v>3</v>
      </c>
      <c r="G297" s="16" t="s">
        <v>114</v>
      </c>
      <c r="H297" s="11" t="s">
        <v>0</v>
      </c>
      <c r="I297">
        <v>7</v>
      </c>
      <c r="J297">
        <v>7</v>
      </c>
      <c r="K297">
        <v>12</v>
      </c>
      <c r="L297">
        <v>15</v>
      </c>
      <c r="M297">
        <v>14</v>
      </c>
      <c r="N297">
        <v>15</v>
      </c>
      <c r="O297">
        <v>2</v>
      </c>
      <c r="P297">
        <v>6</v>
      </c>
      <c r="Q297">
        <v>1</v>
      </c>
      <c r="R297">
        <v>0</v>
      </c>
      <c r="S297">
        <v>1</v>
      </c>
      <c r="T297">
        <v>0</v>
      </c>
      <c r="U297">
        <v>1</v>
      </c>
      <c r="V297">
        <v>1</v>
      </c>
      <c r="W297">
        <v>0</v>
      </c>
      <c r="X297">
        <v>0</v>
      </c>
      <c r="Y297" s="15">
        <v>4.7073170731707314</v>
      </c>
      <c r="Z297">
        <v>125</v>
      </c>
      <c r="AA297">
        <v>82</v>
      </c>
      <c r="AB297" s="25">
        <v>9.5833333333333339</v>
      </c>
      <c r="AC297" s="25">
        <v>12.666666666666668</v>
      </c>
      <c r="AD297" s="25">
        <v>3.0833333333333339</v>
      </c>
      <c r="AE297" s="25">
        <f>Table3[[#This Row],[flies_out]]/Table3[[#This Row],[flies_in]]</f>
        <v>0.65600000000000003</v>
      </c>
    </row>
    <row r="298" spans="1:31" x14ac:dyDescent="0.35">
      <c r="A298" s="16">
        <v>16</v>
      </c>
      <c r="B298" s="16" t="s">
        <v>118</v>
      </c>
      <c r="C298" s="16">
        <v>2</v>
      </c>
      <c r="D298" s="17" t="s">
        <v>106</v>
      </c>
      <c r="E298" s="16" t="s">
        <v>3</v>
      </c>
      <c r="F298">
        <v>4</v>
      </c>
      <c r="G298" s="16" t="s">
        <v>112</v>
      </c>
      <c r="H298" s="11" t="s">
        <v>0</v>
      </c>
      <c r="I298">
        <v>19</v>
      </c>
      <c r="J298">
        <v>10</v>
      </c>
      <c r="K298">
        <v>20</v>
      </c>
      <c r="L298">
        <v>5</v>
      </c>
      <c r="M298">
        <v>11</v>
      </c>
      <c r="N298">
        <v>14</v>
      </c>
      <c r="O298">
        <v>4</v>
      </c>
      <c r="P298">
        <v>6</v>
      </c>
      <c r="Q298">
        <v>4</v>
      </c>
      <c r="R298">
        <v>5</v>
      </c>
      <c r="S298">
        <v>8</v>
      </c>
      <c r="T298">
        <v>0</v>
      </c>
      <c r="U298">
        <v>6</v>
      </c>
      <c r="V298">
        <v>3</v>
      </c>
      <c r="W298">
        <v>20</v>
      </c>
      <c r="X298">
        <v>1</v>
      </c>
      <c r="Y298" s="15">
        <v>6.9411764705882355</v>
      </c>
      <c r="Z298">
        <v>150</v>
      </c>
      <c r="AA298">
        <v>136</v>
      </c>
      <c r="AB298" s="25">
        <v>13.25</v>
      </c>
      <c r="AC298" s="25">
        <v>4.5166666666666666</v>
      </c>
      <c r="AD298" s="25">
        <v>-8.7333333333333343</v>
      </c>
      <c r="AE298" s="25">
        <f>Table3[[#This Row],[flies_out]]/Table3[[#This Row],[flies_in]]</f>
        <v>0.90666666666666662</v>
      </c>
    </row>
    <row r="299" spans="1:31" x14ac:dyDescent="0.35">
      <c r="A299" s="16">
        <v>16</v>
      </c>
      <c r="B299" s="16" t="s">
        <v>118</v>
      </c>
      <c r="C299" s="16">
        <v>2</v>
      </c>
      <c r="D299" s="17" t="s">
        <v>106</v>
      </c>
      <c r="E299" s="16" t="s">
        <v>3</v>
      </c>
      <c r="F299">
        <v>4</v>
      </c>
      <c r="G299" s="16" t="s">
        <v>113</v>
      </c>
      <c r="H299" s="11" t="s">
        <v>2</v>
      </c>
      <c r="I299">
        <v>9</v>
      </c>
      <c r="J299">
        <v>5</v>
      </c>
      <c r="K299">
        <v>6</v>
      </c>
      <c r="L299">
        <v>11</v>
      </c>
      <c r="M299">
        <v>6</v>
      </c>
      <c r="N299">
        <v>8</v>
      </c>
      <c r="O299">
        <v>8</v>
      </c>
      <c r="P299">
        <v>8</v>
      </c>
      <c r="Q299">
        <v>3</v>
      </c>
      <c r="R299">
        <v>0</v>
      </c>
      <c r="S299">
        <v>0</v>
      </c>
      <c r="T299">
        <v>1</v>
      </c>
      <c r="U299">
        <v>2</v>
      </c>
      <c r="V299">
        <v>1</v>
      </c>
      <c r="W299">
        <v>1</v>
      </c>
      <c r="X299">
        <v>0</v>
      </c>
      <c r="Y299" s="15">
        <v>5.4057971014492754</v>
      </c>
      <c r="Z299">
        <v>150</v>
      </c>
      <c r="AA299">
        <v>69</v>
      </c>
      <c r="AB299" s="25">
        <v>13.25</v>
      </c>
      <c r="AC299" s="25">
        <v>4.6000000000000005</v>
      </c>
      <c r="AD299" s="25">
        <v>-8.6499999999999986</v>
      </c>
      <c r="AE299" s="25">
        <f>Table3[[#This Row],[flies_out]]/Table3[[#This Row],[flies_in]]</f>
        <v>0.46</v>
      </c>
    </row>
    <row r="300" spans="1:31" x14ac:dyDescent="0.35">
      <c r="A300" s="16">
        <v>16</v>
      </c>
      <c r="B300" s="16" t="s">
        <v>118</v>
      </c>
      <c r="C300" s="16">
        <v>2</v>
      </c>
      <c r="D300" s="17" t="s">
        <v>106</v>
      </c>
      <c r="E300" s="16" t="s">
        <v>3</v>
      </c>
      <c r="F300">
        <v>4</v>
      </c>
      <c r="G300" s="16" t="s">
        <v>1</v>
      </c>
      <c r="H300" s="11" t="s">
        <v>2</v>
      </c>
      <c r="I300">
        <v>22</v>
      </c>
      <c r="J300">
        <v>23</v>
      </c>
      <c r="K300">
        <v>18</v>
      </c>
      <c r="L300">
        <v>7</v>
      </c>
      <c r="M300">
        <v>7</v>
      </c>
      <c r="N300">
        <v>6</v>
      </c>
      <c r="O300">
        <v>0</v>
      </c>
      <c r="P300">
        <v>7</v>
      </c>
      <c r="Q300">
        <v>13</v>
      </c>
      <c r="R300">
        <v>2</v>
      </c>
      <c r="S300">
        <v>1</v>
      </c>
      <c r="T300">
        <v>0</v>
      </c>
      <c r="U300">
        <v>3</v>
      </c>
      <c r="V300">
        <v>0</v>
      </c>
      <c r="W300">
        <v>2</v>
      </c>
      <c r="X300">
        <v>2</v>
      </c>
      <c r="Y300" s="15">
        <v>4.6548672566371678</v>
      </c>
      <c r="Z300">
        <v>150</v>
      </c>
      <c r="AA300">
        <v>113</v>
      </c>
      <c r="AB300" s="25">
        <v>13.25</v>
      </c>
      <c r="AC300" s="25">
        <v>4.6833333333333336</v>
      </c>
      <c r="AD300" s="25">
        <v>-8.5666666666666664</v>
      </c>
      <c r="AE300" s="25">
        <f>Table3[[#This Row],[flies_out]]/Table3[[#This Row],[flies_in]]</f>
        <v>0.7533333333333333</v>
      </c>
    </row>
    <row r="301" spans="1:31" x14ac:dyDescent="0.35">
      <c r="A301" s="16">
        <v>16</v>
      </c>
      <c r="B301" s="16" t="s">
        <v>118</v>
      </c>
      <c r="C301" s="16">
        <v>2</v>
      </c>
      <c r="D301" s="17" t="s">
        <v>106</v>
      </c>
      <c r="E301" s="16" t="s">
        <v>3</v>
      </c>
      <c r="F301">
        <v>4</v>
      </c>
      <c r="G301" s="16" t="s">
        <v>114</v>
      </c>
      <c r="H301" s="11" t="s">
        <v>0</v>
      </c>
      <c r="I301">
        <v>21</v>
      </c>
      <c r="J301">
        <v>13</v>
      </c>
      <c r="K301">
        <v>20</v>
      </c>
      <c r="L301">
        <v>29</v>
      </c>
      <c r="M301">
        <v>19</v>
      </c>
      <c r="N301">
        <v>14</v>
      </c>
      <c r="O301">
        <v>2</v>
      </c>
      <c r="P301">
        <v>5</v>
      </c>
      <c r="Q301">
        <v>2</v>
      </c>
      <c r="R301">
        <v>0</v>
      </c>
      <c r="S301">
        <v>1</v>
      </c>
      <c r="T301">
        <v>0</v>
      </c>
      <c r="U301">
        <v>1</v>
      </c>
      <c r="V301">
        <v>0</v>
      </c>
      <c r="W301">
        <v>0</v>
      </c>
      <c r="X301">
        <v>0</v>
      </c>
      <c r="Y301" s="15">
        <v>3.9212598425196852</v>
      </c>
      <c r="Z301">
        <v>150</v>
      </c>
      <c r="AA301">
        <v>127</v>
      </c>
      <c r="AB301" s="25">
        <v>13.25</v>
      </c>
      <c r="AC301" s="25">
        <v>4.8000000000000007</v>
      </c>
      <c r="AD301" s="25">
        <v>-8.4499999999999993</v>
      </c>
      <c r="AE301" s="25">
        <f>Table3[[#This Row],[flies_out]]/Table3[[#This Row],[flies_in]]</f>
        <v>0.84666666666666668</v>
      </c>
    </row>
    <row r="302" spans="1:31" x14ac:dyDescent="0.35">
      <c r="A302" s="16">
        <v>17</v>
      </c>
      <c r="B302" s="16" t="s">
        <v>117</v>
      </c>
      <c r="C302" s="16">
        <v>1</v>
      </c>
      <c r="D302" s="17" t="s">
        <v>104</v>
      </c>
      <c r="E302" s="16" t="s">
        <v>3</v>
      </c>
      <c r="F302">
        <v>2</v>
      </c>
      <c r="G302" s="16" t="s">
        <v>112</v>
      </c>
      <c r="H302" s="11" t="s">
        <v>2</v>
      </c>
      <c r="I302">
        <v>4</v>
      </c>
      <c r="J302">
        <v>2</v>
      </c>
      <c r="K302">
        <v>3</v>
      </c>
      <c r="L302">
        <v>2</v>
      </c>
      <c r="M302">
        <v>11</v>
      </c>
      <c r="N302">
        <v>3</v>
      </c>
      <c r="O302">
        <v>0</v>
      </c>
      <c r="P302">
        <v>12</v>
      </c>
      <c r="Q302">
        <v>3</v>
      </c>
      <c r="R302">
        <v>3</v>
      </c>
      <c r="S302">
        <v>7</v>
      </c>
      <c r="T302">
        <v>8</v>
      </c>
      <c r="U302">
        <v>3</v>
      </c>
      <c r="V302">
        <v>1</v>
      </c>
      <c r="W302">
        <v>6</v>
      </c>
      <c r="X302">
        <v>15</v>
      </c>
      <c r="Y302" s="15">
        <v>9.7228915662650603</v>
      </c>
      <c r="Z302">
        <v>150</v>
      </c>
      <c r="AA302">
        <v>83</v>
      </c>
      <c r="AB302" s="25">
        <v>9.6333333333333329</v>
      </c>
      <c r="AC302" s="25">
        <v>12.383333333333335</v>
      </c>
      <c r="AD302" s="25">
        <v>2.7500000000000018</v>
      </c>
      <c r="AE302" s="25">
        <f>Table3[[#This Row],[flies_out]]/Table3[[#This Row],[flies_in]]</f>
        <v>0.55333333333333334</v>
      </c>
    </row>
    <row r="303" spans="1:31" x14ac:dyDescent="0.35">
      <c r="A303" s="16">
        <v>17</v>
      </c>
      <c r="B303" s="16" t="s">
        <v>117</v>
      </c>
      <c r="C303" s="16">
        <v>1</v>
      </c>
      <c r="D303" s="17" t="s">
        <v>104</v>
      </c>
      <c r="E303" s="16" t="s">
        <v>3</v>
      </c>
      <c r="F303">
        <v>2</v>
      </c>
      <c r="G303" s="16" t="s">
        <v>113</v>
      </c>
      <c r="H303" s="11" t="s">
        <v>0</v>
      </c>
      <c r="I303">
        <v>19</v>
      </c>
      <c r="J303">
        <v>15</v>
      </c>
      <c r="K303">
        <v>6</v>
      </c>
      <c r="L303">
        <v>4</v>
      </c>
      <c r="M303">
        <v>7</v>
      </c>
      <c r="N303">
        <v>7</v>
      </c>
      <c r="O303">
        <v>16</v>
      </c>
      <c r="P303">
        <v>7</v>
      </c>
      <c r="Q303">
        <v>4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 s="15">
        <v>4.3488372093023253</v>
      </c>
      <c r="Z303">
        <v>125</v>
      </c>
      <c r="AA303">
        <v>86</v>
      </c>
      <c r="AB303" s="25">
        <v>9.6333333333333329</v>
      </c>
      <c r="AC303" s="25">
        <v>12.566666666666666</v>
      </c>
      <c r="AD303" s="25">
        <v>2.9333333333333336</v>
      </c>
      <c r="AE303" s="25">
        <f>Table3[[#This Row],[flies_out]]/Table3[[#This Row],[flies_in]]</f>
        <v>0.68799999999999994</v>
      </c>
    </row>
    <row r="304" spans="1:31" x14ac:dyDescent="0.35">
      <c r="A304" s="16">
        <v>17</v>
      </c>
      <c r="B304" s="16" t="s">
        <v>117</v>
      </c>
      <c r="C304" s="16">
        <v>1</v>
      </c>
      <c r="D304" s="17" t="s">
        <v>104</v>
      </c>
      <c r="E304" s="16" t="s">
        <v>3</v>
      </c>
      <c r="F304">
        <v>2</v>
      </c>
      <c r="G304" s="16" t="s">
        <v>1</v>
      </c>
      <c r="H304" s="11" t="s">
        <v>0</v>
      </c>
      <c r="I304">
        <v>9</v>
      </c>
      <c r="J304">
        <v>13</v>
      </c>
      <c r="K304">
        <v>15</v>
      </c>
      <c r="L304">
        <v>1</v>
      </c>
      <c r="M304">
        <v>3</v>
      </c>
      <c r="N304">
        <v>11</v>
      </c>
      <c r="O304">
        <v>4</v>
      </c>
      <c r="P304">
        <v>4</v>
      </c>
      <c r="Q304">
        <v>14</v>
      </c>
      <c r="R304">
        <v>4</v>
      </c>
      <c r="S304">
        <v>2</v>
      </c>
      <c r="T304">
        <v>1</v>
      </c>
      <c r="U304">
        <v>1</v>
      </c>
      <c r="V304">
        <v>0</v>
      </c>
      <c r="W304">
        <v>1</v>
      </c>
      <c r="X304">
        <v>0</v>
      </c>
      <c r="Y304" s="15">
        <v>5.4578313253012052</v>
      </c>
      <c r="Z304">
        <v>150</v>
      </c>
      <c r="AA304">
        <v>83</v>
      </c>
      <c r="AB304" s="25">
        <v>9.6333333333333329</v>
      </c>
      <c r="AC304" s="25">
        <v>12.683333333333334</v>
      </c>
      <c r="AD304" s="25">
        <v>3.0500000000000007</v>
      </c>
      <c r="AE304" s="25">
        <f>Table3[[#This Row],[flies_out]]/Table3[[#This Row],[flies_in]]</f>
        <v>0.55333333333333334</v>
      </c>
    </row>
    <row r="305" spans="1:31" x14ac:dyDescent="0.35">
      <c r="A305" s="16">
        <v>17</v>
      </c>
      <c r="B305" s="16" t="s">
        <v>117</v>
      </c>
      <c r="C305" s="16">
        <v>1</v>
      </c>
      <c r="D305" s="17" t="s">
        <v>104</v>
      </c>
      <c r="E305" s="16" t="s">
        <v>3</v>
      </c>
      <c r="F305">
        <v>2</v>
      </c>
      <c r="G305" s="16" t="s">
        <v>114</v>
      </c>
      <c r="H305" s="11" t="s">
        <v>2</v>
      </c>
      <c r="I305">
        <v>8</v>
      </c>
      <c r="J305">
        <v>14</v>
      </c>
      <c r="K305">
        <v>13</v>
      </c>
      <c r="L305">
        <v>8</v>
      </c>
      <c r="M305">
        <v>9</v>
      </c>
      <c r="N305">
        <v>6</v>
      </c>
      <c r="O305">
        <v>1</v>
      </c>
      <c r="P305">
        <v>5</v>
      </c>
      <c r="Q305">
        <v>0</v>
      </c>
      <c r="R305">
        <v>0</v>
      </c>
      <c r="S305">
        <v>2</v>
      </c>
      <c r="T305">
        <v>2</v>
      </c>
      <c r="U305">
        <v>0</v>
      </c>
      <c r="V305">
        <v>1</v>
      </c>
      <c r="W305">
        <v>0</v>
      </c>
      <c r="X305">
        <v>0</v>
      </c>
      <c r="Y305" s="15">
        <v>4.27536231884058</v>
      </c>
      <c r="Z305">
        <v>150</v>
      </c>
      <c r="AA305">
        <v>69</v>
      </c>
      <c r="AB305" s="25">
        <v>9.6333333333333329</v>
      </c>
      <c r="AC305" s="25">
        <v>12.783333333333333</v>
      </c>
      <c r="AD305" s="25">
        <v>3.1500000000000004</v>
      </c>
      <c r="AE305" s="25">
        <f>Table3[[#This Row],[flies_out]]/Table3[[#This Row],[flies_in]]</f>
        <v>0.46</v>
      </c>
    </row>
    <row r="306" spans="1:31" x14ac:dyDescent="0.35">
      <c r="A306" s="16">
        <v>17</v>
      </c>
      <c r="B306" s="16" t="s">
        <v>118</v>
      </c>
      <c r="C306" s="16">
        <v>1</v>
      </c>
      <c r="D306" s="17" t="s">
        <v>106</v>
      </c>
      <c r="E306" s="16" t="s">
        <v>3</v>
      </c>
      <c r="F306">
        <v>1</v>
      </c>
      <c r="G306" s="16" t="s">
        <v>112</v>
      </c>
      <c r="H306" s="11" t="s">
        <v>2</v>
      </c>
      <c r="I306">
        <v>9</v>
      </c>
      <c r="J306">
        <v>9</v>
      </c>
      <c r="K306">
        <v>11</v>
      </c>
      <c r="L306">
        <v>15</v>
      </c>
      <c r="M306">
        <v>15</v>
      </c>
      <c r="N306">
        <v>9</v>
      </c>
      <c r="O306">
        <v>4</v>
      </c>
      <c r="P306">
        <v>18</v>
      </c>
      <c r="Q306">
        <v>2</v>
      </c>
      <c r="R306">
        <v>4</v>
      </c>
      <c r="S306">
        <v>6</v>
      </c>
      <c r="T306">
        <v>3</v>
      </c>
      <c r="U306">
        <v>3</v>
      </c>
      <c r="V306">
        <v>2</v>
      </c>
      <c r="W306">
        <v>2</v>
      </c>
      <c r="X306">
        <v>1</v>
      </c>
      <c r="Y306" s="15">
        <v>6.1415929203539825</v>
      </c>
      <c r="Z306">
        <v>150</v>
      </c>
      <c r="AA306">
        <v>113</v>
      </c>
      <c r="AB306" s="25">
        <v>13.099999999999998</v>
      </c>
      <c r="AC306" s="25">
        <v>16.466666666666669</v>
      </c>
      <c r="AD306" s="25">
        <v>3.3666666666666707</v>
      </c>
      <c r="AE306" s="25">
        <f>Table3[[#This Row],[flies_out]]/Table3[[#This Row],[flies_in]]</f>
        <v>0.7533333333333333</v>
      </c>
    </row>
    <row r="307" spans="1:31" x14ac:dyDescent="0.35">
      <c r="A307" s="16">
        <v>17</v>
      </c>
      <c r="B307" s="16" t="s">
        <v>118</v>
      </c>
      <c r="C307" s="16">
        <v>1</v>
      </c>
      <c r="D307" s="17" t="s">
        <v>106</v>
      </c>
      <c r="E307" s="16" t="s">
        <v>3</v>
      </c>
      <c r="F307">
        <v>1</v>
      </c>
      <c r="G307" s="16" t="s">
        <v>113</v>
      </c>
      <c r="H307" s="11" t="s">
        <v>0</v>
      </c>
      <c r="I307">
        <v>18</v>
      </c>
      <c r="J307">
        <v>17</v>
      </c>
      <c r="K307">
        <v>23</v>
      </c>
      <c r="L307">
        <v>15</v>
      </c>
      <c r="M307">
        <v>4</v>
      </c>
      <c r="N307">
        <v>9</v>
      </c>
      <c r="O307">
        <v>5</v>
      </c>
      <c r="P307">
        <v>9</v>
      </c>
      <c r="Q307">
        <v>3</v>
      </c>
      <c r="R307">
        <v>2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 s="15">
        <v>3.9622641509433962</v>
      </c>
      <c r="Z307">
        <v>125</v>
      </c>
      <c r="AA307">
        <v>106</v>
      </c>
      <c r="AB307" s="25">
        <v>13.099999999999998</v>
      </c>
      <c r="AC307" s="25">
        <v>16.566666666666666</v>
      </c>
      <c r="AD307" s="25">
        <v>3.4666666666666686</v>
      </c>
      <c r="AE307" s="25">
        <f>Table3[[#This Row],[flies_out]]/Table3[[#This Row],[flies_in]]</f>
        <v>0.84799999999999998</v>
      </c>
    </row>
    <row r="308" spans="1:31" x14ac:dyDescent="0.35">
      <c r="A308" s="16">
        <v>17</v>
      </c>
      <c r="B308" s="16" t="s">
        <v>118</v>
      </c>
      <c r="C308" s="16">
        <v>1</v>
      </c>
      <c r="D308" s="17" t="s">
        <v>106</v>
      </c>
      <c r="E308" s="16" t="s">
        <v>3</v>
      </c>
      <c r="F308">
        <v>1</v>
      </c>
      <c r="G308" s="16" t="s">
        <v>1</v>
      </c>
      <c r="H308" s="11" t="s">
        <v>0</v>
      </c>
      <c r="I308">
        <v>30</v>
      </c>
      <c r="J308">
        <v>22</v>
      </c>
      <c r="K308">
        <v>17</v>
      </c>
      <c r="L308">
        <v>4</v>
      </c>
      <c r="M308">
        <v>7</v>
      </c>
      <c r="N308">
        <v>13</v>
      </c>
      <c r="O308">
        <v>5</v>
      </c>
      <c r="P308">
        <v>14</v>
      </c>
      <c r="Q308">
        <v>6</v>
      </c>
      <c r="R308">
        <v>4</v>
      </c>
      <c r="S308">
        <v>7</v>
      </c>
      <c r="T308">
        <v>0</v>
      </c>
      <c r="U308">
        <v>0</v>
      </c>
      <c r="V308">
        <v>0</v>
      </c>
      <c r="W308">
        <v>0</v>
      </c>
      <c r="X308">
        <v>0</v>
      </c>
      <c r="Y308" s="15">
        <v>4.4341085271317828</v>
      </c>
      <c r="Z308">
        <v>150</v>
      </c>
      <c r="AA308">
        <v>129</v>
      </c>
      <c r="AB308" s="25">
        <v>13.099999999999998</v>
      </c>
      <c r="AC308" s="25">
        <v>16.7</v>
      </c>
      <c r="AD308" s="25">
        <v>3.6000000000000014</v>
      </c>
      <c r="AE308" s="25">
        <f>Table3[[#This Row],[flies_out]]/Table3[[#This Row],[flies_in]]</f>
        <v>0.86</v>
      </c>
    </row>
    <row r="309" spans="1:31" x14ac:dyDescent="0.35">
      <c r="A309" s="16">
        <v>17</v>
      </c>
      <c r="B309" s="16" t="s">
        <v>118</v>
      </c>
      <c r="C309" s="16">
        <v>1</v>
      </c>
      <c r="D309" s="17" t="s">
        <v>106</v>
      </c>
      <c r="E309" s="16" t="s">
        <v>3</v>
      </c>
      <c r="F309">
        <v>1</v>
      </c>
      <c r="G309" s="16" t="s">
        <v>114</v>
      </c>
      <c r="H309" s="11" t="s">
        <v>2</v>
      </c>
      <c r="I309">
        <v>24</v>
      </c>
      <c r="J309">
        <v>14</v>
      </c>
      <c r="K309">
        <v>10</v>
      </c>
      <c r="L309">
        <v>8</v>
      </c>
      <c r="M309">
        <v>21</v>
      </c>
      <c r="N309">
        <v>10</v>
      </c>
      <c r="O309">
        <v>7</v>
      </c>
      <c r="P309">
        <v>11</v>
      </c>
      <c r="Q309">
        <v>6</v>
      </c>
      <c r="R309">
        <v>1</v>
      </c>
      <c r="S309">
        <v>2</v>
      </c>
      <c r="T309">
        <v>0</v>
      </c>
      <c r="U309">
        <v>1</v>
      </c>
      <c r="V309">
        <v>1</v>
      </c>
      <c r="W309">
        <v>0</v>
      </c>
      <c r="X309">
        <v>0</v>
      </c>
      <c r="Y309" s="15">
        <v>4.5603448275862073</v>
      </c>
      <c r="Z309">
        <v>150</v>
      </c>
      <c r="AA309">
        <v>116</v>
      </c>
      <c r="AB309" s="25">
        <v>13.099999999999998</v>
      </c>
      <c r="AC309" s="25">
        <v>16.766666666666666</v>
      </c>
      <c r="AD309" s="25">
        <v>3.6666666666666679</v>
      </c>
      <c r="AE309" s="25">
        <f>Table3[[#This Row],[flies_out]]/Table3[[#This Row],[flies_in]]</f>
        <v>0.77333333333333332</v>
      </c>
    </row>
    <row r="310" spans="1:31" x14ac:dyDescent="0.35">
      <c r="A310" s="16">
        <v>17</v>
      </c>
      <c r="B310" s="16" t="s">
        <v>117</v>
      </c>
      <c r="C310" s="16">
        <v>2</v>
      </c>
      <c r="D310" s="17" t="s">
        <v>104</v>
      </c>
      <c r="E310" s="16" t="s">
        <v>3</v>
      </c>
      <c r="F310">
        <v>4</v>
      </c>
      <c r="G310" s="16" t="s">
        <v>112</v>
      </c>
      <c r="H310" s="11" t="s">
        <v>2</v>
      </c>
      <c r="I310">
        <v>6</v>
      </c>
      <c r="J310">
        <v>4</v>
      </c>
      <c r="K310">
        <v>2</v>
      </c>
      <c r="L310">
        <v>5</v>
      </c>
      <c r="M310">
        <v>10</v>
      </c>
      <c r="N310">
        <v>7</v>
      </c>
      <c r="O310">
        <v>6</v>
      </c>
      <c r="P310">
        <v>11</v>
      </c>
      <c r="Q310">
        <v>1</v>
      </c>
      <c r="R310">
        <v>7</v>
      </c>
      <c r="S310">
        <v>4</v>
      </c>
      <c r="T310">
        <v>2</v>
      </c>
      <c r="U310">
        <v>1</v>
      </c>
      <c r="V310">
        <v>1</v>
      </c>
      <c r="W310">
        <v>7</v>
      </c>
      <c r="X310">
        <v>3</v>
      </c>
      <c r="Y310" s="15">
        <v>7.6493506493506498</v>
      </c>
      <c r="Z310">
        <v>125</v>
      </c>
      <c r="AA310">
        <v>77</v>
      </c>
      <c r="AB310" s="25">
        <v>9.6999999999999993</v>
      </c>
      <c r="AC310" s="25">
        <v>12.5</v>
      </c>
      <c r="AD310" s="25">
        <v>2.8000000000000007</v>
      </c>
      <c r="AE310" s="25">
        <f>Table3[[#This Row],[flies_out]]/Table3[[#This Row],[flies_in]]</f>
        <v>0.61599999999999999</v>
      </c>
    </row>
    <row r="311" spans="1:31" x14ac:dyDescent="0.35">
      <c r="A311" s="16">
        <v>17</v>
      </c>
      <c r="B311" s="16" t="s">
        <v>117</v>
      </c>
      <c r="C311" s="16">
        <v>2</v>
      </c>
      <c r="D311" s="17" t="s">
        <v>104</v>
      </c>
      <c r="E311" s="16" t="s">
        <v>3</v>
      </c>
      <c r="F311">
        <v>4</v>
      </c>
      <c r="G311" s="16" t="s">
        <v>113</v>
      </c>
      <c r="H311" s="11" t="s">
        <v>0</v>
      </c>
      <c r="I311">
        <v>6</v>
      </c>
      <c r="J311">
        <v>5</v>
      </c>
      <c r="K311">
        <v>6</v>
      </c>
      <c r="L311">
        <v>5</v>
      </c>
      <c r="M311">
        <v>4</v>
      </c>
      <c r="N311">
        <v>7</v>
      </c>
      <c r="O311">
        <v>6</v>
      </c>
      <c r="P311">
        <v>8</v>
      </c>
      <c r="Q311">
        <v>0</v>
      </c>
      <c r="R311">
        <v>2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 s="15">
        <v>5.0599999999999996</v>
      </c>
      <c r="Z311">
        <v>75</v>
      </c>
      <c r="AA311">
        <v>50</v>
      </c>
      <c r="AB311" s="25">
        <v>9.6999999999999993</v>
      </c>
      <c r="AC311" s="25">
        <v>12.55</v>
      </c>
      <c r="AD311" s="25">
        <v>2.8500000000000014</v>
      </c>
      <c r="AE311" s="25">
        <f>Table3[[#This Row],[flies_out]]/Table3[[#This Row],[flies_in]]</f>
        <v>0.66666666666666663</v>
      </c>
    </row>
    <row r="312" spans="1:31" x14ac:dyDescent="0.35">
      <c r="A312" s="16">
        <v>17</v>
      </c>
      <c r="B312" s="16" t="s">
        <v>117</v>
      </c>
      <c r="C312" s="16">
        <v>2</v>
      </c>
      <c r="D312" s="17" t="s">
        <v>104</v>
      </c>
      <c r="E312" s="16" t="s">
        <v>3</v>
      </c>
      <c r="F312">
        <v>4</v>
      </c>
      <c r="G312" s="16" t="s">
        <v>1</v>
      </c>
      <c r="H312" s="11" t="s">
        <v>0</v>
      </c>
      <c r="I312">
        <v>9</v>
      </c>
      <c r="J312">
        <v>10</v>
      </c>
      <c r="K312">
        <v>17</v>
      </c>
      <c r="L312">
        <v>2</v>
      </c>
      <c r="M312">
        <v>1</v>
      </c>
      <c r="N312">
        <v>17</v>
      </c>
      <c r="O312">
        <v>2</v>
      </c>
      <c r="P312">
        <v>15</v>
      </c>
      <c r="Q312">
        <v>10</v>
      </c>
      <c r="R312">
        <v>2</v>
      </c>
      <c r="S312">
        <v>2</v>
      </c>
      <c r="T312">
        <v>0</v>
      </c>
      <c r="U312">
        <v>1</v>
      </c>
      <c r="V312">
        <v>0</v>
      </c>
      <c r="W312">
        <v>0</v>
      </c>
      <c r="X312">
        <v>2</v>
      </c>
      <c r="Y312" s="15">
        <v>5.6222222222222218</v>
      </c>
      <c r="Z312">
        <v>125</v>
      </c>
      <c r="AA312">
        <v>90</v>
      </c>
      <c r="AB312" s="25">
        <v>9.6999999999999993</v>
      </c>
      <c r="AC312" s="25">
        <v>12.616666666666667</v>
      </c>
      <c r="AD312" s="25">
        <v>2.9166666666666679</v>
      </c>
      <c r="AE312" s="25">
        <f>Table3[[#This Row],[flies_out]]/Table3[[#This Row],[flies_in]]</f>
        <v>0.72</v>
      </c>
    </row>
    <row r="313" spans="1:31" x14ac:dyDescent="0.35">
      <c r="A313" s="16">
        <v>17</v>
      </c>
      <c r="B313" s="16" t="s">
        <v>117</v>
      </c>
      <c r="C313" s="16">
        <v>2</v>
      </c>
      <c r="D313" s="17" t="s">
        <v>104</v>
      </c>
      <c r="E313" s="16" t="s">
        <v>3</v>
      </c>
      <c r="F313">
        <v>4</v>
      </c>
      <c r="G313" s="16" t="s">
        <v>114</v>
      </c>
      <c r="H313" s="11" t="s">
        <v>2</v>
      </c>
      <c r="I313">
        <v>12</v>
      </c>
      <c r="J313">
        <v>9</v>
      </c>
      <c r="K313">
        <v>11</v>
      </c>
      <c r="L313">
        <v>11</v>
      </c>
      <c r="M313">
        <v>11</v>
      </c>
      <c r="N313">
        <v>9</v>
      </c>
      <c r="O313">
        <v>3</v>
      </c>
      <c r="P313">
        <v>14</v>
      </c>
      <c r="Q313">
        <v>2</v>
      </c>
      <c r="R313">
        <v>0</v>
      </c>
      <c r="S313">
        <v>0</v>
      </c>
      <c r="T313">
        <v>2</v>
      </c>
      <c r="U313">
        <v>2</v>
      </c>
      <c r="V313">
        <v>0</v>
      </c>
      <c r="W313">
        <v>0</v>
      </c>
      <c r="X313">
        <v>0</v>
      </c>
      <c r="Y313" s="15">
        <v>4.8488372093023253</v>
      </c>
      <c r="Z313">
        <v>150</v>
      </c>
      <c r="AA313">
        <v>86</v>
      </c>
      <c r="AB313" s="25">
        <v>9.6999999999999993</v>
      </c>
      <c r="AC313" s="25">
        <v>12.733333333333334</v>
      </c>
      <c r="AD313" s="25">
        <v>3.033333333333335</v>
      </c>
      <c r="AE313" s="25">
        <f>Table3[[#This Row],[flies_out]]/Table3[[#This Row],[flies_in]]</f>
        <v>0.57333333333333336</v>
      </c>
    </row>
    <row r="314" spans="1:31" x14ac:dyDescent="0.35">
      <c r="A314" s="16">
        <v>17</v>
      </c>
      <c r="B314" s="16" t="s">
        <v>118</v>
      </c>
      <c r="C314" s="16">
        <v>2</v>
      </c>
      <c r="D314" s="17" t="s">
        <v>106</v>
      </c>
      <c r="E314" s="16" t="s">
        <v>3</v>
      </c>
      <c r="F314">
        <v>3</v>
      </c>
      <c r="G314" s="16" t="s">
        <v>112</v>
      </c>
      <c r="H314" s="11" t="s">
        <v>2</v>
      </c>
      <c r="I314">
        <v>2</v>
      </c>
      <c r="J314">
        <v>1</v>
      </c>
      <c r="K314">
        <v>9</v>
      </c>
      <c r="L314">
        <v>9</v>
      </c>
      <c r="M314">
        <v>10</v>
      </c>
      <c r="N314">
        <v>9</v>
      </c>
      <c r="O314">
        <v>12</v>
      </c>
      <c r="P314">
        <v>13</v>
      </c>
      <c r="Q314">
        <v>2</v>
      </c>
      <c r="R314">
        <v>2</v>
      </c>
      <c r="S314">
        <v>2</v>
      </c>
      <c r="T314">
        <v>0</v>
      </c>
      <c r="U314">
        <v>0</v>
      </c>
      <c r="V314">
        <v>1</v>
      </c>
      <c r="W314">
        <v>5</v>
      </c>
      <c r="X314">
        <v>2</v>
      </c>
      <c r="Y314" s="15">
        <v>6.8354430379746836</v>
      </c>
      <c r="Z314">
        <v>150</v>
      </c>
      <c r="AA314">
        <v>79</v>
      </c>
      <c r="AB314" s="25">
        <v>13.183333333333334</v>
      </c>
      <c r="AC314" s="25">
        <v>16.5</v>
      </c>
      <c r="AD314" s="25">
        <v>3.3166666666666664</v>
      </c>
      <c r="AE314" s="25">
        <f>Table3[[#This Row],[flies_out]]/Table3[[#This Row],[flies_in]]</f>
        <v>0.52666666666666662</v>
      </c>
    </row>
    <row r="315" spans="1:31" x14ac:dyDescent="0.35">
      <c r="A315" s="16">
        <v>17</v>
      </c>
      <c r="B315" s="16" t="s">
        <v>118</v>
      </c>
      <c r="C315" s="16">
        <v>2</v>
      </c>
      <c r="D315" s="17" t="s">
        <v>106</v>
      </c>
      <c r="E315" s="16" t="s">
        <v>3</v>
      </c>
      <c r="F315">
        <v>3</v>
      </c>
      <c r="G315" s="16" t="s">
        <v>113</v>
      </c>
      <c r="H315" s="11" t="s">
        <v>0</v>
      </c>
      <c r="I315">
        <v>17</v>
      </c>
      <c r="J315">
        <v>7</v>
      </c>
      <c r="K315">
        <v>12</v>
      </c>
      <c r="L315">
        <v>9</v>
      </c>
      <c r="M315">
        <v>6</v>
      </c>
      <c r="N315">
        <v>4</v>
      </c>
      <c r="O315">
        <v>8</v>
      </c>
      <c r="P315">
        <v>14</v>
      </c>
      <c r="Q315">
        <v>0</v>
      </c>
      <c r="R315">
        <v>2</v>
      </c>
      <c r="S315">
        <v>3</v>
      </c>
      <c r="T315">
        <v>0</v>
      </c>
      <c r="U315">
        <v>0</v>
      </c>
      <c r="V315">
        <v>0</v>
      </c>
      <c r="W315">
        <v>1</v>
      </c>
      <c r="X315">
        <v>0</v>
      </c>
      <c r="Y315" s="15">
        <v>4.7349397590361448</v>
      </c>
      <c r="Z315">
        <v>100</v>
      </c>
      <c r="AA315">
        <v>83</v>
      </c>
      <c r="AB315" s="25">
        <v>13.183333333333334</v>
      </c>
      <c r="AC315" s="25">
        <v>16.583333333333332</v>
      </c>
      <c r="AD315" s="25">
        <v>3.3999999999999986</v>
      </c>
      <c r="AE315" s="25">
        <f>Table3[[#This Row],[flies_out]]/Table3[[#This Row],[flies_in]]</f>
        <v>0.83</v>
      </c>
    </row>
    <row r="316" spans="1:31" x14ac:dyDescent="0.35">
      <c r="A316" s="16">
        <v>17</v>
      </c>
      <c r="B316" s="16" t="s">
        <v>118</v>
      </c>
      <c r="C316" s="16">
        <v>2</v>
      </c>
      <c r="D316" s="17" t="s">
        <v>106</v>
      </c>
      <c r="E316" s="16" t="s">
        <v>3</v>
      </c>
      <c r="F316">
        <v>3</v>
      </c>
      <c r="G316" s="16" t="s">
        <v>1</v>
      </c>
      <c r="H316" s="11" t="s">
        <v>0</v>
      </c>
      <c r="I316">
        <v>19</v>
      </c>
      <c r="J316">
        <v>18</v>
      </c>
      <c r="K316">
        <v>25</v>
      </c>
      <c r="L316">
        <v>2</v>
      </c>
      <c r="M316">
        <v>3</v>
      </c>
      <c r="N316">
        <v>17</v>
      </c>
      <c r="O316">
        <v>4</v>
      </c>
      <c r="P316">
        <v>6</v>
      </c>
      <c r="Q316">
        <v>8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 s="15">
        <v>4.0769230769230766</v>
      </c>
      <c r="Z316">
        <v>125</v>
      </c>
      <c r="AA316">
        <v>104</v>
      </c>
      <c r="AB316" s="25">
        <v>13.183333333333334</v>
      </c>
      <c r="AC316" s="25">
        <v>16.666666666666664</v>
      </c>
      <c r="AD316" s="25">
        <v>3.4833333333333307</v>
      </c>
      <c r="AE316" s="25">
        <f>Table3[[#This Row],[flies_out]]/Table3[[#This Row],[flies_in]]</f>
        <v>0.83199999999999996</v>
      </c>
    </row>
    <row r="317" spans="1:31" x14ac:dyDescent="0.35">
      <c r="A317" s="16">
        <v>17</v>
      </c>
      <c r="B317" s="16" t="s">
        <v>118</v>
      </c>
      <c r="C317" s="16">
        <v>2</v>
      </c>
      <c r="D317" s="17" t="s">
        <v>106</v>
      </c>
      <c r="E317" s="16" t="s">
        <v>3</v>
      </c>
      <c r="F317">
        <v>3</v>
      </c>
      <c r="G317" s="16" t="s">
        <v>114</v>
      </c>
      <c r="H317" s="11" t="s">
        <v>2</v>
      </c>
      <c r="I317">
        <v>8</v>
      </c>
      <c r="J317">
        <v>7</v>
      </c>
      <c r="K317">
        <v>4</v>
      </c>
      <c r="L317">
        <v>4</v>
      </c>
      <c r="M317">
        <v>3</v>
      </c>
      <c r="N317">
        <v>5</v>
      </c>
      <c r="O317">
        <v>0</v>
      </c>
      <c r="P317">
        <v>8</v>
      </c>
      <c r="Q317">
        <v>2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 s="15">
        <v>4.5</v>
      </c>
      <c r="Z317">
        <v>150</v>
      </c>
      <c r="AA317">
        <v>42</v>
      </c>
      <c r="AB317" s="25">
        <v>13.183333333333334</v>
      </c>
      <c r="AC317" s="25">
        <v>16.733333333333334</v>
      </c>
      <c r="AD317" s="25">
        <v>3.5500000000000007</v>
      </c>
      <c r="AE317" s="25">
        <f>Table3[[#This Row],[flies_out]]/Table3[[#This Row],[flies_in]]</f>
        <v>0.28000000000000003</v>
      </c>
    </row>
    <row r="318" spans="1:31" x14ac:dyDescent="0.35">
      <c r="A318" s="16">
        <v>18</v>
      </c>
      <c r="B318" s="16" t="s">
        <v>117</v>
      </c>
      <c r="C318" s="16">
        <v>1</v>
      </c>
      <c r="D318" s="17" t="s">
        <v>104</v>
      </c>
      <c r="E318" s="16" t="s">
        <v>3</v>
      </c>
      <c r="F318">
        <v>1</v>
      </c>
      <c r="G318" s="16" t="s">
        <v>113</v>
      </c>
      <c r="H318" s="11" t="s">
        <v>2</v>
      </c>
      <c r="I318">
        <v>7</v>
      </c>
      <c r="J318">
        <v>7</v>
      </c>
      <c r="K318">
        <v>2</v>
      </c>
      <c r="L318">
        <v>5</v>
      </c>
      <c r="M318">
        <v>9</v>
      </c>
      <c r="N318">
        <v>5</v>
      </c>
      <c r="O318">
        <v>8</v>
      </c>
      <c r="P318">
        <v>10</v>
      </c>
      <c r="Q318">
        <v>3</v>
      </c>
      <c r="R318">
        <v>5</v>
      </c>
      <c r="S318">
        <v>6</v>
      </c>
      <c r="T318">
        <v>4</v>
      </c>
      <c r="U318">
        <v>1</v>
      </c>
      <c r="V318">
        <v>0</v>
      </c>
      <c r="W318">
        <v>0</v>
      </c>
      <c r="X318">
        <v>0</v>
      </c>
      <c r="Y318" s="15">
        <v>6.416666666666667</v>
      </c>
      <c r="Z318">
        <v>125</v>
      </c>
      <c r="AA318">
        <v>72</v>
      </c>
      <c r="AB318" s="25">
        <v>9.3333333333333339</v>
      </c>
      <c r="AC318" s="25">
        <v>12.5</v>
      </c>
      <c r="AD318" s="25">
        <v>3.1666666666666661</v>
      </c>
      <c r="AE318" s="25">
        <f>Table3[[#This Row],[flies_out]]/Table3[[#This Row],[flies_in]]</f>
        <v>0.57599999999999996</v>
      </c>
    </row>
    <row r="319" spans="1:31" x14ac:dyDescent="0.35">
      <c r="A319" s="16">
        <v>18</v>
      </c>
      <c r="B319" s="16" t="s">
        <v>117</v>
      </c>
      <c r="C319" s="16">
        <v>1</v>
      </c>
      <c r="D319" s="17" t="s">
        <v>104</v>
      </c>
      <c r="E319" s="16" t="s">
        <v>3</v>
      </c>
      <c r="F319">
        <v>1</v>
      </c>
      <c r="G319" s="16" t="s">
        <v>1</v>
      </c>
      <c r="H319" s="11" t="s">
        <v>2</v>
      </c>
      <c r="I319">
        <v>7</v>
      </c>
      <c r="J319">
        <v>11</v>
      </c>
      <c r="K319">
        <v>11</v>
      </c>
      <c r="L319">
        <v>1</v>
      </c>
      <c r="M319">
        <v>3</v>
      </c>
      <c r="N319">
        <v>6</v>
      </c>
      <c r="O319">
        <v>4</v>
      </c>
      <c r="P319">
        <v>9</v>
      </c>
      <c r="Q319">
        <v>9</v>
      </c>
      <c r="R319">
        <v>9</v>
      </c>
      <c r="S319">
        <v>5</v>
      </c>
      <c r="T319">
        <v>0</v>
      </c>
      <c r="U319">
        <v>1</v>
      </c>
      <c r="V319">
        <v>6</v>
      </c>
      <c r="W319">
        <v>1</v>
      </c>
      <c r="X319">
        <v>9</v>
      </c>
      <c r="Y319" s="15">
        <v>7.5978260869565215</v>
      </c>
      <c r="Z319">
        <v>125</v>
      </c>
      <c r="AA319">
        <v>92</v>
      </c>
      <c r="AB319" s="25">
        <v>9.3333333333333339</v>
      </c>
      <c r="AC319" s="25">
        <v>12.716666666666667</v>
      </c>
      <c r="AD319" s="25">
        <v>3.3833333333333329</v>
      </c>
      <c r="AE319" s="25">
        <f>Table3[[#This Row],[flies_out]]/Table3[[#This Row],[flies_in]]</f>
        <v>0.73599999999999999</v>
      </c>
    </row>
    <row r="320" spans="1:31" x14ac:dyDescent="0.35">
      <c r="A320" s="16">
        <v>18</v>
      </c>
      <c r="B320" s="16" t="s">
        <v>117</v>
      </c>
      <c r="C320" s="16">
        <v>1</v>
      </c>
      <c r="D320" s="17" t="s">
        <v>104</v>
      </c>
      <c r="E320" s="16" t="s">
        <v>3</v>
      </c>
      <c r="F320">
        <v>1</v>
      </c>
      <c r="G320" s="16" t="s">
        <v>114</v>
      </c>
      <c r="H320" s="11" t="s">
        <v>0</v>
      </c>
      <c r="I320">
        <v>14</v>
      </c>
      <c r="J320">
        <v>13</v>
      </c>
      <c r="K320">
        <v>9</v>
      </c>
      <c r="L320">
        <v>12</v>
      </c>
      <c r="M320">
        <v>4</v>
      </c>
      <c r="N320">
        <v>9</v>
      </c>
      <c r="O320">
        <v>3</v>
      </c>
      <c r="P320">
        <v>8</v>
      </c>
      <c r="Q320">
        <v>9</v>
      </c>
      <c r="R320">
        <v>0</v>
      </c>
      <c r="S320">
        <v>8</v>
      </c>
      <c r="T320">
        <v>1</v>
      </c>
      <c r="U320">
        <v>0</v>
      </c>
      <c r="V320">
        <v>1</v>
      </c>
      <c r="W320">
        <v>1</v>
      </c>
      <c r="X320">
        <v>0</v>
      </c>
      <c r="Y320" s="15">
        <v>5.2608695652173916</v>
      </c>
      <c r="Z320">
        <v>175</v>
      </c>
      <c r="AA320">
        <v>92</v>
      </c>
      <c r="AB320" s="25">
        <v>9.3333333333333339</v>
      </c>
      <c r="AC320" s="25">
        <v>12.916666666666666</v>
      </c>
      <c r="AD320" s="25">
        <v>3.5833333333333321</v>
      </c>
      <c r="AE320" s="25">
        <f>Table3[[#This Row],[flies_out]]/Table3[[#This Row],[flies_in]]</f>
        <v>0.52571428571428569</v>
      </c>
    </row>
    <row r="321" spans="1:31" x14ac:dyDescent="0.35">
      <c r="A321" s="16">
        <v>18</v>
      </c>
      <c r="B321" s="16" t="s">
        <v>118</v>
      </c>
      <c r="C321" s="16">
        <v>1</v>
      </c>
      <c r="D321" s="17" t="s">
        <v>106</v>
      </c>
      <c r="E321" s="16" t="s">
        <v>3</v>
      </c>
      <c r="F321">
        <v>2</v>
      </c>
      <c r="G321" s="16" t="s">
        <v>113</v>
      </c>
      <c r="H321" s="11" t="s">
        <v>2</v>
      </c>
      <c r="I321">
        <v>16</v>
      </c>
      <c r="J321">
        <v>8</v>
      </c>
      <c r="K321">
        <v>12</v>
      </c>
      <c r="L321">
        <v>12</v>
      </c>
      <c r="M321">
        <v>5</v>
      </c>
      <c r="N321">
        <v>12</v>
      </c>
      <c r="O321">
        <v>18</v>
      </c>
      <c r="P321">
        <v>11</v>
      </c>
      <c r="Q321">
        <v>5</v>
      </c>
      <c r="R321">
        <v>6</v>
      </c>
      <c r="S321">
        <v>3</v>
      </c>
      <c r="T321">
        <v>3</v>
      </c>
      <c r="U321">
        <v>2</v>
      </c>
      <c r="V321">
        <v>0</v>
      </c>
      <c r="W321">
        <v>0</v>
      </c>
      <c r="X321">
        <v>0</v>
      </c>
      <c r="Y321" s="15">
        <v>5.5486725663716818</v>
      </c>
      <c r="Z321">
        <v>150</v>
      </c>
      <c r="AA321">
        <v>113</v>
      </c>
      <c r="AB321" s="25">
        <v>13.383333333333333</v>
      </c>
      <c r="AC321" s="25">
        <v>16.45</v>
      </c>
      <c r="AD321" s="25">
        <v>3.0666666666666664</v>
      </c>
      <c r="AE321" s="25">
        <f>Table3[[#This Row],[flies_out]]/Table3[[#This Row],[flies_in]]</f>
        <v>0.7533333333333333</v>
      </c>
    </row>
    <row r="322" spans="1:31" x14ac:dyDescent="0.35">
      <c r="A322" s="16">
        <v>18</v>
      </c>
      <c r="B322" s="16" t="s">
        <v>118</v>
      </c>
      <c r="C322" s="16">
        <v>1</v>
      </c>
      <c r="D322" s="17" t="s">
        <v>106</v>
      </c>
      <c r="E322" s="16" t="s">
        <v>3</v>
      </c>
      <c r="F322">
        <v>2</v>
      </c>
      <c r="G322" s="16" t="s">
        <v>1</v>
      </c>
      <c r="H322" s="11" t="s">
        <v>2</v>
      </c>
      <c r="I322">
        <v>24</v>
      </c>
      <c r="J322">
        <v>20</v>
      </c>
      <c r="K322">
        <v>12</v>
      </c>
      <c r="L322">
        <v>4</v>
      </c>
      <c r="M322">
        <v>3</v>
      </c>
      <c r="N322">
        <v>9</v>
      </c>
      <c r="O322">
        <v>14</v>
      </c>
      <c r="P322">
        <v>3</v>
      </c>
      <c r="Q322">
        <v>3</v>
      </c>
      <c r="R322">
        <v>4</v>
      </c>
      <c r="S322">
        <v>1</v>
      </c>
      <c r="T322">
        <v>2</v>
      </c>
      <c r="U322">
        <v>1</v>
      </c>
      <c r="V322">
        <v>1</v>
      </c>
      <c r="W322">
        <v>0</v>
      </c>
      <c r="X322">
        <v>0</v>
      </c>
      <c r="Y322" s="15">
        <v>4.3168316831683171</v>
      </c>
      <c r="Z322">
        <v>150</v>
      </c>
      <c r="AA322">
        <v>101</v>
      </c>
      <c r="AB322" s="25">
        <v>13.383333333333333</v>
      </c>
      <c r="AC322" s="25">
        <v>16.55</v>
      </c>
      <c r="AD322" s="25">
        <v>3.1666666666666679</v>
      </c>
      <c r="AE322" s="25">
        <f>Table3[[#This Row],[flies_out]]/Table3[[#This Row],[flies_in]]</f>
        <v>0.67333333333333334</v>
      </c>
    </row>
    <row r="323" spans="1:31" x14ac:dyDescent="0.35">
      <c r="A323" s="16">
        <v>18</v>
      </c>
      <c r="B323" s="16" t="s">
        <v>118</v>
      </c>
      <c r="C323" s="16">
        <v>1</v>
      </c>
      <c r="D323" s="17" t="s">
        <v>106</v>
      </c>
      <c r="E323" s="16" t="s">
        <v>3</v>
      </c>
      <c r="F323">
        <v>2</v>
      </c>
      <c r="G323" s="16" t="s">
        <v>114</v>
      </c>
      <c r="H323" s="11" t="s">
        <v>0</v>
      </c>
      <c r="I323">
        <v>37</v>
      </c>
      <c r="J323">
        <v>35</v>
      </c>
      <c r="K323">
        <v>20</v>
      </c>
      <c r="L323">
        <v>21</v>
      </c>
      <c r="M323">
        <v>9</v>
      </c>
      <c r="N323">
        <v>10</v>
      </c>
      <c r="O323">
        <v>1</v>
      </c>
      <c r="P323">
        <v>16</v>
      </c>
      <c r="Q323">
        <v>2</v>
      </c>
      <c r="R323">
        <v>0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 s="15">
        <v>3.5584415584415585</v>
      </c>
      <c r="Z323">
        <v>175</v>
      </c>
      <c r="AA323">
        <v>154</v>
      </c>
      <c r="AB323" s="25">
        <v>13.383333333333333</v>
      </c>
      <c r="AC323" s="25">
        <v>16.633333333333333</v>
      </c>
      <c r="AD323" s="25">
        <v>3.25</v>
      </c>
      <c r="AE323" s="25">
        <f>Table3[[#This Row],[flies_out]]/Table3[[#This Row],[flies_in]]</f>
        <v>0.88</v>
      </c>
    </row>
    <row r="324" spans="1:31" x14ac:dyDescent="0.35">
      <c r="A324" s="16">
        <v>18</v>
      </c>
      <c r="B324" s="16" t="s">
        <v>117</v>
      </c>
      <c r="C324" s="16">
        <v>2</v>
      </c>
      <c r="D324" s="17" t="s">
        <v>104</v>
      </c>
      <c r="E324" s="16" t="s">
        <v>3</v>
      </c>
      <c r="F324">
        <v>3</v>
      </c>
      <c r="G324" s="16" t="s">
        <v>112</v>
      </c>
      <c r="H324" s="11" t="s">
        <v>0</v>
      </c>
      <c r="I324">
        <v>6</v>
      </c>
      <c r="J324">
        <v>8</v>
      </c>
      <c r="K324">
        <v>6</v>
      </c>
      <c r="L324">
        <v>1</v>
      </c>
      <c r="M324">
        <v>9</v>
      </c>
      <c r="N324">
        <v>4</v>
      </c>
      <c r="O324">
        <v>15</v>
      </c>
      <c r="P324">
        <v>13</v>
      </c>
      <c r="Q324">
        <v>4</v>
      </c>
      <c r="R324">
        <v>0</v>
      </c>
      <c r="S324">
        <v>4</v>
      </c>
      <c r="T324">
        <v>1</v>
      </c>
      <c r="U324">
        <v>3</v>
      </c>
      <c r="V324">
        <v>0</v>
      </c>
      <c r="W324">
        <v>16</v>
      </c>
      <c r="X324">
        <v>9</v>
      </c>
      <c r="Y324" s="15">
        <v>8.454545454545455</v>
      </c>
      <c r="Z324">
        <v>150</v>
      </c>
      <c r="AA324">
        <v>99</v>
      </c>
      <c r="AB324" s="25">
        <v>9.8333333333333321</v>
      </c>
      <c r="AC324" s="25">
        <v>12.516666666666667</v>
      </c>
      <c r="AD324" s="25">
        <v>2.6833333333333353</v>
      </c>
      <c r="AE324" s="25">
        <f>Table3[[#This Row],[flies_out]]/Table3[[#This Row],[flies_in]]</f>
        <v>0.66</v>
      </c>
    </row>
    <row r="325" spans="1:31" x14ac:dyDescent="0.35">
      <c r="A325" s="16">
        <v>18</v>
      </c>
      <c r="B325" s="16" t="s">
        <v>117</v>
      </c>
      <c r="C325" s="16">
        <v>2</v>
      </c>
      <c r="D325" s="17" t="s">
        <v>104</v>
      </c>
      <c r="E325" s="16" t="s">
        <v>3</v>
      </c>
      <c r="F325">
        <v>3</v>
      </c>
      <c r="G325" s="16" t="s">
        <v>113</v>
      </c>
      <c r="H325" s="11" t="s">
        <v>2</v>
      </c>
      <c r="I325">
        <v>5</v>
      </c>
      <c r="J325">
        <v>8</v>
      </c>
      <c r="K325">
        <v>2</v>
      </c>
      <c r="L325">
        <v>5</v>
      </c>
      <c r="M325">
        <v>7</v>
      </c>
      <c r="N325">
        <v>4</v>
      </c>
      <c r="O325">
        <v>8</v>
      </c>
      <c r="P325">
        <v>8</v>
      </c>
      <c r="Q325">
        <v>3</v>
      </c>
      <c r="R325">
        <v>6</v>
      </c>
      <c r="S325">
        <v>5</v>
      </c>
      <c r="T325">
        <v>5</v>
      </c>
      <c r="U325">
        <v>5</v>
      </c>
      <c r="V325">
        <v>3</v>
      </c>
      <c r="W325">
        <v>2</v>
      </c>
      <c r="X325">
        <v>0</v>
      </c>
      <c r="Y325" s="15">
        <v>7.4342105263157894</v>
      </c>
      <c r="Z325">
        <v>150</v>
      </c>
      <c r="AA325">
        <v>76</v>
      </c>
      <c r="AB325" s="25">
        <v>9.8333333333333321</v>
      </c>
      <c r="AC325" s="25">
        <v>12.600000000000001</v>
      </c>
      <c r="AD325" s="25">
        <v>2.7666666666666693</v>
      </c>
      <c r="AE325" s="25">
        <f>Table3[[#This Row],[flies_out]]/Table3[[#This Row],[flies_in]]</f>
        <v>0.50666666666666671</v>
      </c>
    </row>
    <row r="326" spans="1:31" x14ac:dyDescent="0.35">
      <c r="A326" s="16">
        <v>18</v>
      </c>
      <c r="B326" s="16" t="s">
        <v>117</v>
      </c>
      <c r="C326" s="16">
        <v>2</v>
      </c>
      <c r="D326" s="17" t="s">
        <v>104</v>
      </c>
      <c r="E326" s="16" t="s">
        <v>3</v>
      </c>
      <c r="F326">
        <v>3</v>
      </c>
      <c r="G326" s="16" t="s">
        <v>1</v>
      </c>
      <c r="H326" s="11" t="s">
        <v>2</v>
      </c>
      <c r="I326">
        <v>8</v>
      </c>
      <c r="J326">
        <v>9</v>
      </c>
      <c r="K326">
        <v>22</v>
      </c>
      <c r="L326">
        <v>2</v>
      </c>
      <c r="M326">
        <v>5</v>
      </c>
      <c r="N326">
        <v>12</v>
      </c>
      <c r="O326">
        <v>8</v>
      </c>
      <c r="P326">
        <v>9</v>
      </c>
      <c r="Q326">
        <v>13</v>
      </c>
      <c r="R326">
        <v>5</v>
      </c>
      <c r="S326">
        <v>5</v>
      </c>
      <c r="T326">
        <v>1</v>
      </c>
      <c r="U326">
        <v>3</v>
      </c>
      <c r="V326">
        <v>3</v>
      </c>
      <c r="W326">
        <v>1</v>
      </c>
      <c r="X326">
        <v>6</v>
      </c>
      <c r="Y326" s="15">
        <v>6.7053571428571432</v>
      </c>
      <c r="Z326">
        <v>150</v>
      </c>
      <c r="AA326">
        <v>112</v>
      </c>
      <c r="AB326" s="25">
        <v>9.8333333333333321</v>
      </c>
      <c r="AC326" s="25">
        <v>12.683333333333334</v>
      </c>
      <c r="AD326" s="25">
        <v>2.8500000000000014</v>
      </c>
      <c r="AE326" s="25">
        <f>Table3[[#This Row],[flies_out]]/Table3[[#This Row],[flies_in]]</f>
        <v>0.7466666666666667</v>
      </c>
    </row>
    <row r="327" spans="1:31" x14ac:dyDescent="0.35">
      <c r="A327" s="16">
        <v>18</v>
      </c>
      <c r="B327" s="16" t="s">
        <v>117</v>
      </c>
      <c r="C327" s="16">
        <v>2</v>
      </c>
      <c r="D327" s="17" t="s">
        <v>104</v>
      </c>
      <c r="E327" s="16" t="s">
        <v>3</v>
      </c>
      <c r="F327">
        <v>3</v>
      </c>
      <c r="G327" s="16" t="s">
        <v>114</v>
      </c>
      <c r="H327" s="11" t="s">
        <v>0</v>
      </c>
      <c r="I327">
        <v>10</v>
      </c>
      <c r="J327">
        <v>13</v>
      </c>
      <c r="K327">
        <v>9</v>
      </c>
      <c r="L327">
        <v>15</v>
      </c>
      <c r="M327">
        <v>8</v>
      </c>
      <c r="N327">
        <v>13</v>
      </c>
      <c r="O327">
        <v>6</v>
      </c>
      <c r="P327">
        <v>10</v>
      </c>
      <c r="Q327">
        <v>7</v>
      </c>
      <c r="R327">
        <v>0</v>
      </c>
      <c r="S327">
        <v>7</v>
      </c>
      <c r="T327">
        <v>3</v>
      </c>
      <c r="U327">
        <v>2</v>
      </c>
      <c r="V327">
        <v>4</v>
      </c>
      <c r="W327">
        <v>0</v>
      </c>
      <c r="X327">
        <v>0</v>
      </c>
      <c r="Y327" s="15">
        <v>5.8037383177570092</v>
      </c>
      <c r="Z327">
        <v>150</v>
      </c>
      <c r="AA327">
        <v>107</v>
      </c>
      <c r="AB327" s="25">
        <v>9.8333333333333321</v>
      </c>
      <c r="AC327" s="25">
        <v>12.766666666666666</v>
      </c>
      <c r="AD327" s="25">
        <v>2.9333333333333336</v>
      </c>
      <c r="AE327" s="25">
        <f>Table3[[#This Row],[flies_out]]/Table3[[#This Row],[flies_in]]</f>
        <v>0.71333333333333337</v>
      </c>
    </row>
    <row r="328" spans="1:31" x14ac:dyDescent="0.35">
      <c r="A328" s="16">
        <v>18</v>
      </c>
      <c r="B328" s="16" t="s">
        <v>118</v>
      </c>
      <c r="C328" s="16">
        <v>2</v>
      </c>
      <c r="D328" s="17" t="s">
        <v>106</v>
      </c>
      <c r="E328" s="16" t="s">
        <v>3</v>
      </c>
      <c r="F328">
        <v>4</v>
      </c>
      <c r="G328" s="16" t="s">
        <v>112</v>
      </c>
      <c r="H328" s="11" t="s">
        <v>0</v>
      </c>
      <c r="I328">
        <v>17</v>
      </c>
      <c r="J328">
        <v>9</v>
      </c>
      <c r="K328">
        <v>16</v>
      </c>
      <c r="L328">
        <v>10</v>
      </c>
      <c r="M328">
        <v>24</v>
      </c>
      <c r="N328">
        <v>8</v>
      </c>
      <c r="O328">
        <v>17</v>
      </c>
      <c r="P328">
        <v>7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2</v>
      </c>
      <c r="X328">
        <v>1</v>
      </c>
      <c r="Y328" s="15">
        <v>4.7256637168141591</v>
      </c>
      <c r="Z328">
        <v>150</v>
      </c>
      <c r="AA328">
        <v>113</v>
      </c>
      <c r="AB328" s="25">
        <v>13.433333333333334</v>
      </c>
      <c r="AC328" s="25">
        <v>16.5</v>
      </c>
      <c r="AD328" s="25">
        <v>3.0666666666666664</v>
      </c>
      <c r="AE328" s="25">
        <f>Table3[[#This Row],[flies_out]]/Table3[[#This Row],[flies_in]]</f>
        <v>0.7533333333333333</v>
      </c>
    </row>
    <row r="329" spans="1:31" x14ac:dyDescent="0.35">
      <c r="A329" s="16">
        <v>18</v>
      </c>
      <c r="B329" s="16" t="s">
        <v>118</v>
      </c>
      <c r="C329" s="16">
        <v>2</v>
      </c>
      <c r="D329" s="17" t="s">
        <v>106</v>
      </c>
      <c r="E329" s="16" t="s">
        <v>3</v>
      </c>
      <c r="F329">
        <v>4</v>
      </c>
      <c r="G329" s="16" t="s">
        <v>113</v>
      </c>
      <c r="H329" s="11" t="s">
        <v>2</v>
      </c>
      <c r="I329">
        <v>5</v>
      </c>
      <c r="J329">
        <v>2</v>
      </c>
      <c r="K329">
        <v>1</v>
      </c>
      <c r="L329">
        <v>8</v>
      </c>
      <c r="M329">
        <v>3</v>
      </c>
      <c r="N329">
        <v>9</v>
      </c>
      <c r="O329">
        <v>12</v>
      </c>
      <c r="P329">
        <v>5</v>
      </c>
      <c r="Q329">
        <v>3</v>
      </c>
      <c r="R329">
        <v>1</v>
      </c>
      <c r="S329">
        <v>1</v>
      </c>
      <c r="T329">
        <v>2</v>
      </c>
      <c r="U329">
        <v>0</v>
      </c>
      <c r="V329">
        <v>3</v>
      </c>
      <c r="W329">
        <v>0</v>
      </c>
      <c r="X329">
        <v>0</v>
      </c>
      <c r="Y329" s="15">
        <v>6.3818181818181818</v>
      </c>
      <c r="Z329">
        <v>150</v>
      </c>
      <c r="AA329">
        <v>55</v>
      </c>
      <c r="AB329" s="25">
        <v>13.433333333333334</v>
      </c>
      <c r="AC329" s="25">
        <v>16.583333333333332</v>
      </c>
      <c r="AD329" s="25">
        <v>3.1499999999999986</v>
      </c>
      <c r="AE329" s="25">
        <f>Table3[[#This Row],[flies_out]]/Table3[[#This Row],[flies_in]]</f>
        <v>0.36666666666666664</v>
      </c>
    </row>
    <row r="330" spans="1:31" x14ac:dyDescent="0.35">
      <c r="A330" s="16">
        <v>18</v>
      </c>
      <c r="B330" s="16" t="s">
        <v>118</v>
      </c>
      <c r="C330" s="16">
        <v>2</v>
      </c>
      <c r="D330" s="17" t="s">
        <v>106</v>
      </c>
      <c r="E330" s="16" t="s">
        <v>3</v>
      </c>
      <c r="F330">
        <v>4</v>
      </c>
      <c r="G330" s="16" t="s">
        <v>1</v>
      </c>
      <c r="H330" s="11" t="s">
        <v>2</v>
      </c>
      <c r="I330">
        <v>5</v>
      </c>
      <c r="J330">
        <v>2</v>
      </c>
      <c r="K330">
        <v>1</v>
      </c>
      <c r="L330">
        <v>8</v>
      </c>
      <c r="M330">
        <v>3</v>
      </c>
      <c r="N330">
        <v>9</v>
      </c>
      <c r="O330">
        <v>12</v>
      </c>
      <c r="P330">
        <v>5</v>
      </c>
      <c r="Q330">
        <v>3</v>
      </c>
      <c r="R330">
        <v>1</v>
      </c>
      <c r="S330">
        <v>1</v>
      </c>
      <c r="T330">
        <v>2</v>
      </c>
      <c r="U330">
        <v>0</v>
      </c>
      <c r="V330">
        <v>3</v>
      </c>
      <c r="W330">
        <v>0</v>
      </c>
      <c r="X330">
        <v>0</v>
      </c>
      <c r="Y330" s="15">
        <v>6.3818181818181818</v>
      </c>
      <c r="Z330">
        <v>150</v>
      </c>
      <c r="AA330">
        <v>55</v>
      </c>
      <c r="AB330" s="25">
        <v>13.433333333333334</v>
      </c>
      <c r="AC330" s="25">
        <v>16.7</v>
      </c>
      <c r="AD330" s="25">
        <v>3.2666666666666657</v>
      </c>
      <c r="AE330" s="25">
        <f>Table3[[#This Row],[flies_out]]/Table3[[#This Row],[flies_in]]</f>
        <v>0.36666666666666664</v>
      </c>
    </row>
    <row r="331" spans="1:31" x14ac:dyDescent="0.35">
      <c r="A331" s="16">
        <v>18</v>
      </c>
      <c r="B331" s="16" t="s">
        <v>118</v>
      </c>
      <c r="C331" s="16">
        <v>2</v>
      </c>
      <c r="D331" s="17" t="s">
        <v>106</v>
      </c>
      <c r="E331" s="16" t="s">
        <v>3</v>
      </c>
      <c r="F331">
        <v>4</v>
      </c>
      <c r="G331" s="16" t="s">
        <v>114</v>
      </c>
      <c r="H331" s="11" t="s">
        <v>0</v>
      </c>
      <c r="I331">
        <v>45</v>
      </c>
      <c r="J331">
        <v>37</v>
      </c>
      <c r="K331">
        <v>14</v>
      </c>
      <c r="L331">
        <v>10</v>
      </c>
      <c r="M331">
        <v>9</v>
      </c>
      <c r="N331">
        <v>3</v>
      </c>
      <c r="O331">
        <v>3</v>
      </c>
      <c r="P331">
        <v>3</v>
      </c>
      <c r="Q331">
        <v>2</v>
      </c>
      <c r="R331">
        <v>0</v>
      </c>
      <c r="S331">
        <v>2</v>
      </c>
      <c r="T331">
        <v>0</v>
      </c>
      <c r="U331">
        <v>0</v>
      </c>
      <c r="V331">
        <v>1</v>
      </c>
      <c r="W331">
        <v>0</v>
      </c>
      <c r="X331">
        <v>0</v>
      </c>
      <c r="Y331" s="15">
        <v>2.8139534883720931</v>
      </c>
      <c r="Z331">
        <v>150</v>
      </c>
      <c r="AA331">
        <v>129</v>
      </c>
      <c r="AB331" s="25">
        <v>13.433333333333334</v>
      </c>
      <c r="AC331" s="25">
        <v>16.766666666666666</v>
      </c>
      <c r="AD331" s="25">
        <v>3.3333333333333321</v>
      </c>
      <c r="AE331" s="25">
        <f>Table3[[#This Row],[flies_out]]/Table3[[#This Row],[flies_in]]</f>
        <v>0.86</v>
      </c>
    </row>
    <row r="332" spans="1:31" x14ac:dyDescent="0.35">
      <c r="A332" s="16">
        <v>19</v>
      </c>
      <c r="B332" s="16" t="s">
        <v>117</v>
      </c>
      <c r="C332" s="16">
        <v>1</v>
      </c>
      <c r="D332" s="17" t="s">
        <v>104</v>
      </c>
      <c r="E332" s="16" t="s">
        <v>3</v>
      </c>
      <c r="F332">
        <v>2</v>
      </c>
      <c r="G332" s="16" t="s">
        <v>112</v>
      </c>
      <c r="H332" s="11" t="s">
        <v>2</v>
      </c>
      <c r="I332">
        <v>8</v>
      </c>
      <c r="J332">
        <v>6</v>
      </c>
      <c r="K332">
        <v>4</v>
      </c>
      <c r="L332">
        <v>5</v>
      </c>
      <c r="M332">
        <v>4</v>
      </c>
      <c r="N332">
        <v>5</v>
      </c>
      <c r="O332">
        <v>1</v>
      </c>
      <c r="P332">
        <v>3</v>
      </c>
      <c r="Q332">
        <v>5</v>
      </c>
      <c r="R332">
        <v>4</v>
      </c>
      <c r="S332">
        <v>8</v>
      </c>
      <c r="T332">
        <v>4</v>
      </c>
      <c r="U332">
        <v>2</v>
      </c>
      <c r="V332">
        <v>6</v>
      </c>
      <c r="W332">
        <v>17</v>
      </c>
      <c r="X332">
        <v>11</v>
      </c>
      <c r="Y332" s="15">
        <v>9.6236559139784941</v>
      </c>
      <c r="Z332">
        <v>150</v>
      </c>
      <c r="AA332">
        <v>93</v>
      </c>
      <c r="AB332" s="25">
        <v>9.7833333333333332</v>
      </c>
      <c r="AC332" s="25">
        <v>13</v>
      </c>
      <c r="AD332" s="25">
        <v>3.2166666666666668</v>
      </c>
      <c r="AE332" s="25">
        <f>Table3[[#This Row],[flies_out]]/Table3[[#This Row],[flies_in]]</f>
        <v>0.62</v>
      </c>
    </row>
    <row r="333" spans="1:31" x14ac:dyDescent="0.35">
      <c r="A333" s="16">
        <v>19</v>
      </c>
      <c r="B333" s="16" t="s">
        <v>117</v>
      </c>
      <c r="C333" s="16">
        <v>1</v>
      </c>
      <c r="D333" s="17" t="s">
        <v>104</v>
      </c>
      <c r="E333" s="16" t="s">
        <v>3</v>
      </c>
      <c r="F333">
        <v>2</v>
      </c>
      <c r="G333" s="16" t="s">
        <v>113</v>
      </c>
      <c r="H333" s="11" t="s">
        <v>0</v>
      </c>
      <c r="I333">
        <v>14</v>
      </c>
      <c r="J333">
        <v>6</v>
      </c>
      <c r="K333">
        <v>9</v>
      </c>
      <c r="L333">
        <v>6</v>
      </c>
      <c r="M333">
        <v>6</v>
      </c>
      <c r="N333">
        <v>8</v>
      </c>
      <c r="O333">
        <v>26</v>
      </c>
      <c r="P333">
        <v>13</v>
      </c>
      <c r="Q333">
        <v>2</v>
      </c>
      <c r="R333">
        <v>4</v>
      </c>
      <c r="S333">
        <v>2</v>
      </c>
      <c r="T333">
        <v>1</v>
      </c>
      <c r="U333">
        <v>0</v>
      </c>
      <c r="V333">
        <v>1</v>
      </c>
      <c r="W333">
        <v>1</v>
      </c>
      <c r="X333">
        <v>1</v>
      </c>
      <c r="Y333" s="15">
        <v>5.78</v>
      </c>
      <c r="Z333">
        <v>150</v>
      </c>
      <c r="AA333">
        <v>100</v>
      </c>
      <c r="AB333" s="25">
        <v>9.7833333333333332</v>
      </c>
      <c r="AC333" s="25">
        <v>13.083333333333332</v>
      </c>
      <c r="AD333" s="25">
        <v>3.2999999999999989</v>
      </c>
      <c r="AE333" s="25">
        <f>Table3[[#This Row],[flies_out]]/Table3[[#This Row],[flies_in]]</f>
        <v>0.66666666666666663</v>
      </c>
    </row>
    <row r="334" spans="1:31" x14ac:dyDescent="0.35">
      <c r="A334" s="16">
        <v>19</v>
      </c>
      <c r="B334" s="16" t="s">
        <v>117</v>
      </c>
      <c r="C334" s="16">
        <v>1</v>
      </c>
      <c r="D334" s="17" t="s">
        <v>104</v>
      </c>
      <c r="E334" s="16" t="s">
        <v>3</v>
      </c>
      <c r="F334">
        <v>2</v>
      </c>
      <c r="G334" s="16" t="s">
        <v>1</v>
      </c>
      <c r="H334" s="11" t="s">
        <v>0</v>
      </c>
      <c r="I334">
        <v>7</v>
      </c>
      <c r="J334">
        <v>12</v>
      </c>
      <c r="K334">
        <v>11</v>
      </c>
      <c r="L334">
        <v>3</v>
      </c>
      <c r="M334">
        <v>1</v>
      </c>
      <c r="N334">
        <v>9</v>
      </c>
      <c r="O334">
        <v>2</v>
      </c>
      <c r="P334">
        <v>3</v>
      </c>
      <c r="Q334">
        <v>10</v>
      </c>
      <c r="R334">
        <v>1</v>
      </c>
      <c r="S334">
        <v>2</v>
      </c>
      <c r="T334">
        <v>0</v>
      </c>
      <c r="U334">
        <v>0</v>
      </c>
      <c r="V334">
        <v>1</v>
      </c>
      <c r="W334">
        <v>0</v>
      </c>
      <c r="X334">
        <v>0</v>
      </c>
      <c r="Y334" s="15">
        <v>4.9838709677419351</v>
      </c>
      <c r="Z334">
        <v>75</v>
      </c>
      <c r="AA334">
        <v>62</v>
      </c>
      <c r="AB334" s="25">
        <v>9.7833333333333332</v>
      </c>
      <c r="AC334" s="25">
        <v>13.166666666666668</v>
      </c>
      <c r="AD334" s="25">
        <v>3.3833333333333346</v>
      </c>
      <c r="AE334" s="25">
        <f>Table3[[#This Row],[flies_out]]/Table3[[#This Row],[flies_in]]</f>
        <v>0.82666666666666666</v>
      </c>
    </row>
    <row r="335" spans="1:31" x14ac:dyDescent="0.35">
      <c r="A335" s="16">
        <v>19</v>
      </c>
      <c r="B335" s="16" t="s">
        <v>117</v>
      </c>
      <c r="C335" s="16">
        <v>1</v>
      </c>
      <c r="D335" s="17" t="s">
        <v>104</v>
      </c>
      <c r="E335" s="16" t="s">
        <v>3</v>
      </c>
      <c r="F335">
        <v>2</v>
      </c>
      <c r="G335" s="16" t="s">
        <v>114</v>
      </c>
      <c r="H335" s="11" t="s">
        <v>2</v>
      </c>
      <c r="I335">
        <v>14</v>
      </c>
      <c r="J335">
        <v>12</v>
      </c>
      <c r="K335">
        <v>11</v>
      </c>
      <c r="L335">
        <v>11</v>
      </c>
      <c r="M335">
        <v>10</v>
      </c>
      <c r="N335">
        <v>13</v>
      </c>
      <c r="O335">
        <v>4</v>
      </c>
      <c r="P335">
        <v>7</v>
      </c>
      <c r="Q335">
        <v>6</v>
      </c>
      <c r="R335">
        <v>0</v>
      </c>
      <c r="S335">
        <v>5</v>
      </c>
      <c r="T335">
        <v>0</v>
      </c>
      <c r="U335">
        <v>2</v>
      </c>
      <c r="V335">
        <v>0</v>
      </c>
      <c r="W335">
        <v>0</v>
      </c>
      <c r="X335">
        <v>1</v>
      </c>
      <c r="Y335" s="15">
        <v>4.979166666666667</v>
      </c>
      <c r="Z335">
        <v>150</v>
      </c>
      <c r="AA335">
        <v>96</v>
      </c>
      <c r="AB335" s="25">
        <v>9.7833333333333332</v>
      </c>
      <c r="AC335" s="25">
        <v>13.25</v>
      </c>
      <c r="AD335" s="25">
        <v>3.4666666666666668</v>
      </c>
      <c r="AE335" s="25">
        <f>Table3[[#This Row],[flies_out]]/Table3[[#This Row],[flies_in]]</f>
        <v>0.64</v>
      </c>
    </row>
    <row r="336" spans="1:31" x14ac:dyDescent="0.35">
      <c r="A336" s="16">
        <v>19</v>
      </c>
      <c r="B336" s="16" t="s">
        <v>118</v>
      </c>
      <c r="C336" s="16">
        <v>1</v>
      </c>
      <c r="D336" s="17" t="s">
        <v>106</v>
      </c>
      <c r="E336" s="16" t="s">
        <v>3</v>
      </c>
      <c r="F336">
        <v>1</v>
      </c>
      <c r="G336" s="16" t="s">
        <v>112</v>
      </c>
      <c r="H336" s="11" t="s">
        <v>2</v>
      </c>
      <c r="I336">
        <v>9</v>
      </c>
      <c r="J336">
        <v>5</v>
      </c>
      <c r="K336">
        <v>10</v>
      </c>
      <c r="L336">
        <v>4</v>
      </c>
      <c r="M336">
        <v>22</v>
      </c>
      <c r="N336">
        <v>5</v>
      </c>
      <c r="O336">
        <v>4</v>
      </c>
      <c r="P336">
        <v>3</v>
      </c>
      <c r="Q336">
        <v>5</v>
      </c>
      <c r="R336">
        <v>2</v>
      </c>
      <c r="S336">
        <v>4</v>
      </c>
      <c r="T336">
        <v>1</v>
      </c>
      <c r="U336">
        <v>3</v>
      </c>
      <c r="V336">
        <v>5</v>
      </c>
      <c r="W336">
        <v>18</v>
      </c>
      <c r="X336">
        <v>5</v>
      </c>
      <c r="Y336" s="15">
        <v>7.9714285714285715</v>
      </c>
      <c r="Z336">
        <v>150</v>
      </c>
      <c r="AA336">
        <v>105</v>
      </c>
      <c r="AB336" s="25">
        <v>13.583333333333332</v>
      </c>
      <c r="AC336" s="25">
        <v>17.05</v>
      </c>
      <c r="AD336" s="25">
        <v>3.4666666666666686</v>
      </c>
      <c r="AE336" s="25">
        <f>Table3[[#This Row],[flies_out]]/Table3[[#This Row],[flies_in]]</f>
        <v>0.7</v>
      </c>
    </row>
    <row r="337" spans="1:31" x14ac:dyDescent="0.35">
      <c r="A337" s="16">
        <v>19</v>
      </c>
      <c r="B337" s="16" t="s">
        <v>118</v>
      </c>
      <c r="C337" s="16">
        <v>1</v>
      </c>
      <c r="D337" s="17" t="s">
        <v>106</v>
      </c>
      <c r="E337" s="16" t="s">
        <v>3</v>
      </c>
      <c r="F337">
        <v>1</v>
      </c>
      <c r="G337" s="16" t="s">
        <v>113</v>
      </c>
      <c r="H337" s="11" t="s">
        <v>0</v>
      </c>
      <c r="I337">
        <v>9</v>
      </c>
      <c r="J337">
        <v>4</v>
      </c>
      <c r="K337">
        <v>3</v>
      </c>
      <c r="L337">
        <v>12</v>
      </c>
      <c r="M337">
        <v>7</v>
      </c>
      <c r="N337">
        <v>17</v>
      </c>
      <c r="O337">
        <v>19</v>
      </c>
      <c r="P337">
        <v>16</v>
      </c>
      <c r="Q337">
        <v>5</v>
      </c>
      <c r="R337">
        <v>4</v>
      </c>
      <c r="S337">
        <v>2</v>
      </c>
      <c r="T337">
        <v>0</v>
      </c>
      <c r="U337">
        <v>1</v>
      </c>
      <c r="V337">
        <v>1</v>
      </c>
      <c r="W337">
        <v>0</v>
      </c>
      <c r="X337">
        <v>0</v>
      </c>
      <c r="Y337" s="15">
        <v>6.06</v>
      </c>
      <c r="Z337">
        <v>125</v>
      </c>
      <c r="AA337">
        <v>100</v>
      </c>
      <c r="AB337" s="25">
        <v>13.583333333333332</v>
      </c>
      <c r="AC337" s="25">
        <v>17.166666666666668</v>
      </c>
      <c r="AD337" s="25">
        <v>3.5833333333333357</v>
      </c>
      <c r="AE337" s="25">
        <f>Table3[[#This Row],[flies_out]]/Table3[[#This Row],[flies_in]]</f>
        <v>0.8</v>
      </c>
    </row>
    <row r="338" spans="1:31" x14ac:dyDescent="0.35">
      <c r="A338" s="16">
        <v>19</v>
      </c>
      <c r="B338" s="16" t="s">
        <v>118</v>
      </c>
      <c r="C338" s="16">
        <v>1</v>
      </c>
      <c r="D338" s="17" t="s">
        <v>106</v>
      </c>
      <c r="E338" s="16" t="s">
        <v>3</v>
      </c>
      <c r="F338">
        <v>1</v>
      </c>
      <c r="G338" s="16" t="s">
        <v>1</v>
      </c>
      <c r="H338" s="11" t="s">
        <v>0</v>
      </c>
      <c r="I338">
        <v>13</v>
      </c>
      <c r="J338">
        <v>16</v>
      </c>
      <c r="K338">
        <v>24</v>
      </c>
      <c r="L338">
        <v>4</v>
      </c>
      <c r="M338">
        <v>5</v>
      </c>
      <c r="N338">
        <v>13</v>
      </c>
      <c r="O338">
        <v>5</v>
      </c>
      <c r="P338">
        <v>1</v>
      </c>
      <c r="Q338">
        <v>10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 s="15">
        <v>4.0549450549450547</v>
      </c>
      <c r="Z338">
        <v>100</v>
      </c>
      <c r="AA338">
        <v>91</v>
      </c>
      <c r="AB338" s="25">
        <v>13.583333333333332</v>
      </c>
      <c r="AC338" s="25">
        <v>17.266666666666666</v>
      </c>
      <c r="AD338" s="25">
        <v>3.6833333333333336</v>
      </c>
      <c r="AE338" s="25">
        <f>Table3[[#This Row],[flies_out]]/Table3[[#This Row],[flies_in]]</f>
        <v>0.91</v>
      </c>
    </row>
    <row r="339" spans="1:31" x14ac:dyDescent="0.35">
      <c r="A339" s="16">
        <v>19</v>
      </c>
      <c r="B339" s="16" t="s">
        <v>118</v>
      </c>
      <c r="C339" s="16">
        <v>1</v>
      </c>
      <c r="D339" s="17" t="s">
        <v>106</v>
      </c>
      <c r="E339" s="16" t="s">
        <v>3</v>
      </c>
      <c r="F339">
        <v>1</v>
      </c>
      <c r="G339" s="16" t="s">
        <v>114</v>
      </c>
      <c r="H339" s="11" t="s">
        <v>2</v>
      </c>
      <c r="I339">
        <v>40</v>
      </c>
      <c r="J339">
        <v>29</v>
      </c>
      <c r="K339">
        <v>14</v>
      </c>
      <c r="L339">
        <v>11</v>
      </c>
      <c r="M339">
        <v>15</v>
      </c>
      <c r="N339">
        <v>6</v>
      </c>
      <c r="O339">
        <v>2</v>
      </c>
      <c r="P339">
        <v>4</v>
      </c>
      <c r="Q339">
        <v>1</v>
      </c>
      <c r="R339">
        <v>0</v>
      </c>
      <c r="S339">
        <v>2</v>
      </c>
      <c r="T339">
        <v>1</v>
      </c>
      <c r="U339">
        <v>0</v>
      </c>
      <c r="V339">
        <v>0</v>
      </c>
      <c r="W339">
        <v>2</v>
      </c>
      <c r="X339">
        <v>0</v>
      </c>
      <c r="Y339" s="15">
        <v>3.2598425196850394</v>
      </c>
      <c r="Z339">
        <v>150</v>
      </c>
      <c r="AA339">
        <v>127</v>
      </c>
      <c r="AB339" s="25">
        <v>13.583333333333332</v>
      </c>
      <c r="AC339" s="25">
        <v>17.333333333333332</v>
      </c>
      <c r="AD339" s="25">
        <v>3.75</v>
      </c>
      <c r="AE339" s="25">
        <f>Table3[[#This Row],[flies_out]]/Table3[[#This Row],[flies_in]]</f>
        <v>0.84666666666666668</v>
      </c>
    </row>
    <row r="340" spans="1:31" x14ac:dyDescent="0.35">
      <c r="A340" s="16">
        <v>19</v>
      </c>
      <c r="B340" s="16" t="s">
        <v>117</v>
      </c>
      <c r="C340" s="16">
        <v>2</v>
      </c>
      <c r="D340" s="17" t="s">
        <v>104</v>
      </c>
      <c r="E340" s="16" t="s">
        <v>3</v>
      </c>
      <c r="F340">
        <v>4</v>
      </c>
      <c r="G340" s="16" t="s">
        <v>112</v>
      </c>
      <c r="H340" s="11" t="s">
        <v>2</v>
      </c>
      <c r="I340">
        <v>5</v>
      </c>
      <c r="J340">
        <v>6</v>
      </c>
      <c r="K340">
        <v>5</v>
      </c>
      <c r="L340">
        <v>2</v>
      </c>
      <c r="M340">
        <v>12</v>
      </c>
      <c r="N340">
        <v>4</v>
      </c>
      <c r="O340">
        <v>0</v>
      </c>
      <c r="P340">
        <v>1</v>
      </c>
      <c r="Q340">
        <v>2</v>
      </c>
      <c r="R340">
        <v>3</v>
      </c>
      <c r="S340">
        <v>3</v>
      </c>
      <c r="T340">
        <v>3</v>
      </c>
      <c r="U340">
        <v>6</v>
      </c>
      <c r="V340">
        <v>4</v>
      </c>
      <c r="W340">
        <v>18</v>
      </c>
      <c r="X340">
        <v>7</v>
      </c>
      <c r="Y340" s="15">
        <v>9.4444444444444446</v>
      </c>
      <c r="Z340">
        <v>150</v>
      </c>
      <c r="AA340">
        <v>81</v>
      </c>
      <c r="AB340" s="25">
        <v>9.3833333333333329</v>
      </c>
      <c r="AC340" s="25">
        <v>12.55</v>
      </c>
      <c r="AD340" s="25">
        <v>3.1666666666666679</v>
      </c>
      <c r="AE340" s="25">
        <f>Table3[[#This Row],[flies_out]]/Table3[[#This Row],[flies_in]]</f>
        <v>0.54</v>
      </c>
    </row>
    <row r="341" spans="1:31" x14ac:dyDescent="0.35">
      <c r="A341" s="16">
        <v>19</v>
      </c>
      <c r="B341" s="16" t="s">
        <v>117</v>
      </c>
      <c r="C341" s="16">
        <v>2</v>
      </c>
      <c r="D341" s="17" t="s">
        <v>104</v>
      </c>
      <c r="E341" s="16" t="s">
        <v>3</v>
      </c>
      <c r="F341">
        <v>4</v>
      </c>
      <c r="G341" s="16" t="s">
        <v>113</v>
      </c>
      <c r="H341" s="11" t="s">
        <v>0</v>
      </c>
      <c r="I341">
        <v>16</v>
      </c>
      <c r="J341">
        <v>2</v>
      </c>
      <c r="K341">
        <v>6</v>
      </c>
      <c r="L341">
        <v>4</v>
      </c>
      <c r="M341">
        <v>3</v>
      </c>
      <c r="N341">
        <v>4</v>
      </c>
      <c r="O341">
        <v>24</v>
      </c>
      <c r="P341">
        <v>17</v>
      </c>
      <c r="Q341">
        <v>7</v>
      </c>
      <c r="R341">
        <v>2</v>
      </c>
      <c r="S341">
        <v>4</v>
      </c>
      <c r="T341">
        <v>2</v>
      </c>
      <c r="U341">
        <v>0</v>
      </c>
      <c r="V341">
        <v>1</v>
      </c>
      <c r="W341">
        <v>1</v>
      </c>
      <c r="X341">
        <v>0</v>
      </c>
      <c r="Y341" s="15">
        <v>6.204301075268817</v>
      </c>
      <c r="Z341">
        <v>150</v>
      </c>
      <c r="AA341">
        <v>93</v>
      </c>
      <c r="AB341" s="25">
        <v>9.3833333333333329</v>
      </c>
      <c r="AC341" s="25">
        <v>12.666666666666668</v>
      </c>
      <c r="AD341" s="25">
        <v>3.283333333333335</v>
      </c>
      <c r="AE341" s="25">
        <f>Table3[[#This Row],[flies_out]]/Table3[[#This Row],[flies_in]]</f>
        <v>0.62</v>
      </c>
    </row>
    <row r="342" spans="1:31" x14ac:dyDescent="0.35">
      <c r="A342" s="16">
        <v>19</v>
      </c>
      <c r="B342" s="16" t="s">
        <v>117</v>
      </c>
      <c r="C342" s="16">
        <v>2</v>
      </c>
      <c r="D342" s="17" t="s">
        <v>104</v>
      </c>
      <c r="E342" s="16" t="s">
        <v>3</v>
      </c>
      <c r="F342">
        <v>4</v>
      </c>
      <c r="G342" s="16" t="s">
        <v>1</v>
      </c>
      <c r="H342" s="11" t="s">
        <v>0</v>
      </c>
      <c r="I342">
        <v>10</v>
      </c>
      <c r="J342">
        <v>14</v>
      </c>
      <c r="K342">
        <v>30</v>
      </c>
      <c r="L342">
        <v>4</v>
      </c>
      <c r="M342">
        <v>3</v>
      </c>
      <c r="N342">
        <v>10</v>
      </c>
      <c r="O342">
        <v>6</v>
      </c>
      <c r="P342">
        <v>12</v>
      </c>
      <c r="Q342">
        <v>18</v>
      </c>
      <c r="R342">
        <v>8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 s="15">
        <v>5.3017241379310347</v>
      </c>
      <c r="Z342">
        <v>150</v>
      </c>
      <c r="AA342">
        <v>116</v>
      </c>
      <c r="AB342" s="25">
        <v>9.3833333333333329</v>
      </c>
      <c r="AC342" s="25">
        <v>12.75</v>
      </c>
      <c r="AD342" s="25">
        <v>3.3666666666666671</v>
      </c>
      <c r="AE342" s="25">
        <f>Table3[[#This Row],[flies_out]]/Table3[[#This Row],[flies_in]]</f>
        <v>0.77333333333333332</v>
      </c>
    </row>
    <row r="343" spans="1:31" x14ac:dyDescent="0.35">
      <c r="A343" s="16">
        <v>19</v>
      </c>
      <c r="B343" s="16" t="s">
        <v>117</v>
      </c>
      <c r="C343" s="16">
        <v>2</v>
      </c>
      <c r="D343" s="17" t="s">
        <v>104</v>
      </c>
      <c r="E343" s="16" t="s">
        <v>3</v>
      </c>
      <c r="F343">
        <v>4</v>
      </c>
      <c r="G343" s="16" t="s">
        <v>114</v>
      </c>
      <c r="H343" s="11" t="s">
        <v>2</v>
      </c>
      <c r="I343">
        <v>13</v>
      </c>
      <c r="J343">
        <v>19</v>
      </c>
      <c r="K343">
        <v>15</v>
      </c>
      <c r="L343">
        <v>14</v>
      </c>
      <c r="M343">
        <v>13</v>
      </c>
      <c r="N343">
        <v>10</v>
      </c>
      <c r="O343">
        <v>2</v>
      </c>
      <c r="P343">
        <v>9</v>
      </c>
      <c r="Q343">
        <v>3</v>
      </c>
      <c r="R343">
        <v>0</v>
      </c>
      <c r="S343">
        <v>1</v>
      </c>
      <c r="T343">
        <v>1</v>
      </c>
      <c r="U343">
        <v>0</v>
      </c>
      <c r="V343">
        <v>0</v>
      </c>
      <c r="W343">
        <v>0</v>
      </c>
      <c r="X343">
        <v>1</v>
      </c>
      <c r="Y343" s="15">
        <v>4.2475247524752477</v>
      </c>
      <c r="Z343">
        <v>150</v>
      </c>
      <c r="AA343">
        <v>101</v>
      </c>
      <c r="AB343" s="25">
        <v>9.3833333333333329</v>
      </c>
      <c r="AC343" s="25">
        <v>12.833333333333332</v>
      </c>
      <c r="AD343" s="25">
        <v>3.4499999999999993</v>
      </c>
      <c r="AE343" s="25">
        <f>Table3[[#This Row],[flies_out]]/Table3[[#This Row],[flies_in]]</f>
        <v>0.67333333333333334</v>
      </c>
    </row>
    <row r="344" spans="1:31" x14ac:dyDescent="0.35">
      <c r="A344" s="16">
        <v>19</v>
      </c>
      <c r="B344" s="16" t="s">
        <v>118</v>
      </c>
      <c r="C344" s="16">
        <v>2</v>
      </c>
      <c r="D344" s="17" t="s">
        <v>106</v>
      </c>
      <c r="E344" s="16" t="s">
        <v>3</v>
      </c>
      <c r="F344">
        <v>3</v>
      </c>
      <c r="G344" s="16" t="s">
        <v>112</v>
      </c>
      <c r="H344" s="11" t="s">
        <v>2</v>
      </c>
      <c r="I344">
        <v>7</v>
      </c>
      <c r="J344">
        <v>7</v>
      </c>
      <c r="K344">
        <v>10</v>
      </c>
      <c r="L344">
        <v>4</v>
      </c>
      <c r="M344">
        <v>15</v>
      </c>
      <c r="N344">
        <v>2</v>
      </c>
      <c r="O344">
        <v>8</v>
      </c>
      <c r="P344">
        <v>5</v>
      </c>
      <c r="Q344">
        <v>3</v>
      </c>
      <c r="R344">
        <v>2</v>
      </c>
      <c r="S344">
        <v>7</v>
      </c>
      <c r="T344">
        <v>0</v>
      </c>
      <c r="U344">
        <v>3</v>
      </c>
      <c r="V344">
        <v>2</v>
      </c>
      <c r="W344">
        <v>15</v>
      </c>
      <c r="X344">
        <v>6</v>
      </c>
      <c r="Y344" s="15">
        <v>7.9375</v>
      </c>
      <c r="Z344">
        <v>150</v>
      </c>
      <c r="AA344">
        <v>96</v>
      </c>
      <c r="AB344" s="25">
        <v>13.166666666666668</v>
      </c>
      <c r="AC344" s="25">
        <v>16.5</v>
      </c>
      <c r="AD344" s="25">
        <v>3.3333333333333321</v>
      </c>
      <c r="AE344" s="25">
        <f>Table3[[#This Row],[flies_out]]/Table3[[#This Row],[flies_in]]</f>
        <v>0.64</v>
      </c>
    </row>
    <row r="345" spans="1:31" x14ac:dyDescent="0.35">
      <c r="A345" s="16">
        <v>19</v>
      </c>
      <c r="B345" s="16" t="s">
        <v>118</v>
      </c>
      <c r="C345" s="16">
        <v>2</v>
      </c>
      <c r="D345" s="17" t="s">
        <v>106</v>
      </c>
      <c r="E345" s="16" t="s">
        <v>3</v>
      </c>
      <c r="F345">
        <v>3</v>
      </c>
      <c r="G345" s="16" t="s">
        <v>113</v>
      </c>
      <c r="H345" s="11" t="s">
        <v>0</v>
      </c>
      <c r="I345">
        <v>8</v>
      </c>
      <c r="J345">
        <v>9</v>
      </c>
      <c r="K345">
        <v>7</v>
      </c>
      <c r="L345">
        <v>11</v>
      </c>
      <c r="M345">
        <v>7</v>
      </c>
      <c r="N345">
        <v>10</v>
      </c>
      <c r="O345">
        <v>14</v>
      </c>
      <c r="P345">
        <v>16</v>
      </c>
      <c r="Q345">
        <v>2</v>
      </c>
      <c r="R345">
        <v>2</v>
      </c>
      <c r="S345">
        <v>2</v>
      </c>
      <c r="T345">
        <v>1</v>
      </c>
      <c r="U345">
        <v>2</v>
      </c>
      <c r="V345">
        <v>1</v>
      </c>
      <c r="W345">
        <v>0</v>
      </c>
      <c r="X345">
        <v>0</v>
      </c>
      <c r="Y345" s="15">
        <v>5.6956521739130439</v>
      </c>
      <c r="Z345">
        <v>125</v>
      </c>
      <c r="AA345">
        <v>92</v>
      </c>
      <c r="AB345" s="25">
        <v>13.166666666666668</v>
      </c>
      <c r="AC345" s="25">
        <v>16.583333333333332</v>
      </c>
      <c r="AD345" s="25">
        <v>3.4166666666666643</v>
      </c>
      <c r="AE345" s="25">
        <f>Table3[[#This Row],[flies_out]]/Table3[[#This Row],[flies_in]]</f>
        <v>0.73599999999999999</v>
      </c>
    </row>
    <row r="346" spans="1:31" x14ac:dyDescent="0.35">
      <c r="A346" s="16">
        <v>19</v>
      </c>
      <c r="B346" s="16" t="s">
        <v>118</v>
      </c>
      <c r="C346" s="16">
        <v>2</v>
      </c>
      <c r="D346" s="17" t="s">
        <v>106</v>
      </c>
      <c r="E346" s="16" t="s">
        <v>3</v>
      </c>
      <c r="F346">
        <v>3</v>
      </c>
      <c r="G346" s="16" t="s">
        <v>1</v>
      </c>
      <c r="H346" s="11" t="s">
        <v>0</v>
      </c>
      <c r="I346">
        <v>23</v>
      </c>
      <c r="J346">
        <v>18</v>
      </c>
      <c r="K346">
        <v>23</v>
      </c>
      <c r="L346">
        <v>7</v>
      </c>
      <c r="M346">
        <v>3</v>
      </c>
      <c r="N346">
        <v>21</v>
      </c>
      <c r="O346">
        <v>4</v>
      </c>
      <c r="P346">
        <v>7</v>
      </c>
      <c r="Q346">
        <v>2</v>
      </c>
      <c r="R346">
        <v>2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0</v>
      </c>
      <c r="Y346" s="15">
        <v>3.9464285714285716</v>
      </c>
      <c r="Z346">
        <v>150</v>
      </c>
      <c r="AA346">
        <v>112</v>
      </c>
      <c r="AB346" s="25">
        <v>13.166666666666668</v>
      </c>
      <c r="AC346" s="25">
        <v>16.683333333333334</v>
      </c>
      <c r="AD346" s="25">
        <v>3.5166666666666657</v>
      </c>
      <c r="AE346" s="25">
        <f>Table3[[#This Row],[flies_out]]/Table3[[#This Row],[flies_in]]</f>
        <v>0.7466666666666667</v>
      </c>
    </row>
    <row r="347" spans="1:31" x14ac:dyDescent="0.35">
      <c r="A347" s="16">
        <v>19</v>
      </c>
      <c r="B347" s="16" t="s">
        <v>118</v>
      </c>
      <c r="C347" s="16">
        <v>2</v>
      </c>
      <c r="D347" s="17" t="s">
        <v>106</v>
      </c>
      <c r="E347" s="16" t="s">
        <v>3</v>
      </c>
      <c r="F347">
        <v>3</v>
      </c>
      <c r="G347" s="16" t="s">
        <v>114</v>
      </c>
      <c r="H347" s="11" t="s">
        <v>2</v>
      </c>
      <c r="I347">
        <v>34</v>
      </c>
      <c r="J347">
        <v>20</v>
      </c>
      <c r="K347">
        <v>8</v>
      </c>
      <c r="L347">
        <v>10</v>
      </c>
      <c r="M347">
        <v>10</v>
      </c>
      <c r="N347">
        <v>12</v>
      </c>
      <c r="O347">
        <v>3</v>
      </c>
      <c r="P347">
        <v>7</v>
      </c>
      <c r="Q347">
        <v>3</v>
      </c>
      <c r="R347">
        <v>0</v>
      </c>
      <c r="S347">
        <v>0</v>
      </c>
      <c r="T347">
        <v>1</v>
      </c>
      <c r="U347">
        <v>1</v>
      </c>
      <c r="V347">
        <v>1</v>
      </c>
      <c r="W347">
        <v>0</v>
      </c>
      <c r="X347">
        <v>0</v>
      </c>
      <c r="Y347" s="15">
        <v>3.6636363636363636</v>
      </c>
      <c r="Z347">
        <v>150</v>
      </c>
      <c r="AA347">
        <v>110</v>
      </c>
      <c r="AB347" s="25">
        <v>13.166666666666668</v>
      </c>
      <c r="AC347" s="25">
        <v>16.75</v>
      </c>
      <c r="AD347" s="25">
        <v>3.5833333333333321</v>
      </c>
      <c r="AE347" s="25">
        <f>Table3[[#This Row],[flies_out]]/Table3[[#This Row],[flies_in]]</f>
        <v>0.73333333333333328</v>
      </c>
    </row>
    <row r="348" spans="1:31" x14ac:dyDescent="0.35">
      <c r="A348">
        <v>20</v>
      </c>
      <c r="B348" s="16" t="s">
        <v>117</v>
      </c>
      <c r="C348" s="16">
        <v>1</v>
      </c>
      <c r="D348" s="17" t="s">
        <v>104</v>
      </c>
      <c r="E348" s="16" t="s">
        <v>3</v>
      </c>
      <c r="F348">
        <v>1</v>
      </c>
      <c r="G348" s="16" t="s">
        <v>112</v>
      </c>
      <c r="H348" s="11" t="s">
        <v>0</v>
      </c>
      <c r="I348">
        <v>5</v>
      </c>
      <c r="J348">
        <v>5</v>
      </c>
      <c r="K348">
        <v>1</v>
      </c>
      <c r="L348">
        <v>1</v>
      </c>
      <c r="M348">
        <v>4</v>
      </c>
      <c r="N348">
        <v>3</v>
      </c>
      <c r="O348">
        <v>1</v>
      </c>
      <c r="P348">
        <v>0</v>
      </c>
      <c r="Q348">
        <v>2</v>
      </c>
      <c r="R348">
        <v>0</v>
      </c>
      <c r="S348">
        <v>2</v>
      </c>
      <c r="T348">
        <v>1</v>
      </c>
      <c r="U348">
        <v>3</v>
      </c>
      <c r="V348">
        <v>0</v>
      </c>
      <c r="W348">
        <v>1</v>
      </c>
      <c r="X348">
        <v>1</v>
      </c>
      <c r="Y348" s="15">
        <v>6.3</v>
      </c>
      <c r="Z348">
        <v>150</v>
      </c>
      <c r="AA348">
        <v>30</v>
      </c>
      <c r="AB348" s="25">
        <v>9.25</v>
      </c>
      <c r="AC348" s="25">
        <v>12.566666666666666</v>
      </c>
      <c r="AD348" s="25">
        <v>3.3166666666666664</v>
      </c>
      <c r="AE348" s="25">
        <f>Table3[[#This Row],[flies_out]]/Table3[[#This Row],[flies_in]]</f>
        <v>0.2</v>
      </c>
    </row>
    <row r="349" spans="1:31" x14ac:dyDescent="0.35">
      <c r="A349">
        <v>20</v>
      </c>
      <c r="B349" s="16" t="s">
        <v>117</v>
      </c>
      <c r="C349" s="16">
        <v>1</v>
      </c>
      <c r="D349" s="17" t="s">
        <v>104</v>
      </c>
      <c r="E349" s="16" t="s">
        <v>3</v>
      </c>
      <c r="F349">
        <v>1</v>
      </c>
      <c r="G349" s="16" t="s">
        <v>113</v>
      </c>
      <c r="H349" s="11" t="s">
        <v>2</v>
      </c>
      <c r="I349">
        <v>2</v>
      </c>
      <c r="J349">
        <v>3</v>
      </c>
      <c r="K349">
        <v>3</v>
      </c>
      <c r="L349">
        <v>1</v>
      </c>
      <c r="M349">
        <v>4</v>
      </c>
      <c r="N349">
        <v>5</v>
      </c>
      <c r="O349">
        <v>10</v>
      </c>
      <c r="P349">
        <v>7</v>
      </c>
      <c r="Q349">
        <v>6</v>
      </c>
      <c r="R349">
        <v>1</v>
      </c>
      <c r="S349">
        <v>4</v>
      </c>
      <c r="T349">
        <v>1</v>
      </c>
      <c r="U349">
        <v>1</v>
      </c>
      <c r="V349">
        <v>0</v>
      </c>
      <c r="W349">
        <v>0</v>
      </c>
      <c r="X349">
        <v>0</v>
      </c>
      <c r="Y349" s="15">
        <v>6.875</v>
      </c>
      <c r="Z349">
        <v>125</v>
      </c>
      <c r="AA349">
        <v>48</v>
      </c>
      <c r="AB349" s="25">
        <v>9.25</v>
      </c>
      <c r="AC349" s="25">
        <v>12.666666666666668</v>
      </c>
      <c r="AD349" s="25">
        <v>3.4166666666666679</v>
      </c>
      <c r="AE349" s="25">
        <f>Table3[[#This Row],[flies_out]]/Table3[[#This Row],[flies_in]]</f>
        <v>0.38400000000000001</v>
      </c>
    </row>
    <row r="350" spans="1:31" x14ac:dyDescent="0.35">
      <c r="A350">
        <v>20</v>
      </c>
      <c r="B350" s="16" t="s">
        <v>117</v>
      </c>
      <c r="C350" s="16">
        <v>1</v>
      </c>
      <c r="D350" s="17" t="s">
        <v>104</v>
      </c>
      <c r="E350" s="16" t="s">
        <v>3</v>
      </c>
      <c r="F350">
        <v>1</v>
      </c>
      <c r="G350" s="16" t="s">
        <v>1</v>
      </c>
      <c r="H350" s="11" t="s">
        <v>2</v>
      </c>
      <c r="I350">
        <v>4</v>
      </c>
      <c r="J350">
        <v>8</v>
      </c>
      <c r="K350">
        <v>11</v>
      </c>
      <c r="L350">
        <v>0</v>
      </c>
      <c r="M350">
        <v>1</v>
      </c>
      <c r="N350">
        <v>6</v>
      </c>
      <c r="O350">
        <v>2</v>
      </c>
      <c r="P350">
        <v>3</v>
      </c>
      <c r="Q350">
        <v>9</v>
      </c>
      <c r="R350">
        <v>11</v>
      </c>
      <c r="S350">
        <v>5</v>
      </c>
      <c r="T350">
        <v>1</v>
      </c>
      <c r="U350">
        <v>1</v>
      </c>
      <c r="V350">
        <v>0</v>
      </c>
      <c r="W350">
        <v>0</v>
      </c>
      <c r="X350">
        <v>0</v>
      </c>
      <c r="Y350" s="15">
        <v>6.5</v>
      </c>
      <c r="Z350">
        <v>125</v>
      </c>
      <c r="AA350">
        <v>62</v>
      </c>
      <c r="AB350" s="25">
        <v>9.25</v>
      </c>
      <c r="AC350" s="25">
        <v>12.8</v>
      </c>
      <c r="AD350" s="25">
        <v>3.5500000000000007</v>
      </c>
      <c r="AE350" s="25">
        <f>Table3[[#This Row],[flies_out]]/Table3[[#This Row],[flies_in]]</f>
        <v>0.496</v>
      </c>
    </row>
    <row r="351" spans="1:31" x14ac:dyDescent="0.35">
      <c r="A351">
        <v>20</v>
      </c>
      <c r="B351" s="16" t="s">
        <v>117</v>
      </c>
      <c r="C351" s="16">
        <v>1</v>
      </c>
      <c r="D351" s="17" t="s">
        <v>104</v>
      </c>
      <c r="E351" s="16" t="s">
        <v>3</v>
      </c>
      <c r="F351">
        <v>1</v>
      </c>
      <c r="G351" s="16" t="s">
        <v>114</v>
      </c>
      <c r="H351" s="11" t="s">
        <v>0</v>
      </c>
      <c r="I351">
        <v>18</v>
      </c>
      <c r="J351">
        <v>25</v>
      </c>
      <c r="K351">
        <v>11</v>
      </c>
      <c r="L351">
        <v>12</v>
      </c>
      <c r="M351">
        <v>8</v>
      </c>
      <c r="N351">
        <v>10</v>
      </c>
      <c r="O351">
        <v>7</v>
      </c>
      <c r="P351">
        <v>6</v>
      </c>
      <c r="Q351">
        <v>4</v>
      </c>
      <c r="R351">
        <v>0</v>
      </c>
      <c r="S351">
        <v>2</v>
      </c>
      <c r="T351">
        <v>1</v>
      </c>
      <c r="U351">
        <v>0</v>
      </c>
      <c r="V351">
        <v>0</v>
      </c>
      <c r="W351">
        <v>0</v>
      </c>
      <c r="X351">
        <v>0</v>
      </c>
      <c r="Y351" s="15">
        <v>4</v>
      </c>
      <c r="Z351">
        <v>150</v>
      </c>
      <c r="AA351">
        <v>104</v>
      </c>
      <c r="AB351" s="25">
        <v>9.25</v>
      </c>
      <c r="AC351" s="25">
        <v>12.916666666666666</v>
      </c>
      <c r="AD351" s="25">
        <v>3.6666666666666661</v>
      </c>
      <c r="AE351" s="25">
        <f>Table3[[#This Row],[flies_out]]/Table3[[#This Row],[flies_in]]</f>
        <v>0.69333333333333336</v>
      </c>
    </row>
    <row r="352" spans="1:31" x14ac:dyDescent="0.35">
      <c r="A352">
        <v>20</v>
      </c>
      <c r="B352" s="16" t="s">
        <v>118</v>
      </c>
      <c r="C352" s="16">
        <v>1</v>
      </c>
      <c r="D352" s="17" t="s">
        <v>106</v>
      </c>
      <c r="E352" s="16" t="s">
        <v>3</v>
      </c>
      <c r="F352">
        <v>2</v>
      </c>
      <c r="G352" s="16" t="s">
        <v>112</v>
      </c>
      <c r="H352" s="11" t="s">
        <v>0</v>
      </c>
      <c r="I352">
        <v>5</v>
      </c>
      <c r="J352">
        <v>10</v>
      </c>
      <c r="K352">
        <v>9</v>
      </c>
      <c r="L352">
        <v>10</v>
      </c>
      <c r="M352">
        <v>19</v>
      </c>
      <c r="N352">
        <v>2</v>
      </c>
      <c r="O352">
        <v>0</v>
      </c>
      <c r="P352">
        <v>6</v>
      </c>
      <c r="Q352">
        <v>2</v>
      </c>
      <c r="R352">
        <v>0</v>
      </c>
      <c r="S352">
        <v>1</v>
      </c>
      <c r="T352">
        <v>0</v>
      </c>
      <c r="U352">
        <v>1</v>
      </c>
      <c r="V352">
        <v>0</v>
      </c>
      <c r="W352">
        <v>0</v>
      </c>
      <c r="X352">
        <v>0</v>
      </c>
      <c r="Y352" s="15">
        <v>4.4461538461538463</v>
      </c>
      <c r="Z352">
        <v>150</v>
      </c>
      <c r="AA352">
        <v>65</v>
      </c>
      <c r="AB352" s="25">
        <v>13.75</v>
      </c>
      <c r="AC352" s="25">
        <v>16.5</v>
      </c>
      <c r="AD352" s="25">
        <v>2.75</v>
      </c>
      <c r="AE352" s="25">
        <f>Table3[[#This Row],[flies_out]]/Table3[[#This Row],[flies_in]]</f>
        <v>0.43333333333333335</v>
      </c>
    </row>
    <row r="353" spans="1:31" x14ac:dyDescent="0.35">
      <c r="A353">
        <v>20</v>
      </c>
      <c r="B353" s="16" t="s">
        <v>118</v>
      </c>
      <c r="C353" s="16">
        <v>1</v>
      </c>
      <c r="D353" s="17" t="s">
        <v>106</v>
      </c>
      <c r="E353" s="16" t="s">
        <v>3</v>
      </c>
      <c r="F353">
        <v>2</v>
      </c>
      <c r="G353" s="16" t="s">
        <v>113</v>
      </c>
      <c r="H353" s="11" t="s">
        <v>2</v>
      </c>
      <c r="I353">
        <v>19</v>
      </c>
      <c r="J353">
        <v>13</v>
      </c>
      <c r="K353">
        <v>14</v>
      </c>
      <c r="L353">
        <v>11</v>
      </c>
      <c r="M353">
        <v>7</v>
      </c>
      <c r="N353">
        <v>5</v>
      </c>
      <c r="O353">
        <v>17</v>
      </c>
      <c r="P353">
        <v>13</v>
      </c>
      <c r="Q353">
        <v>4</v>
      </c>
      <c r="R353">
        <v>1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 s="15">
        <v>4.5428571428571427</v>
      </c>
      <c r="Z353">
        <v>100</v>
      </c>
      <c r="AA353">
        <v>105</v>
      </c>
      <c r="AB353" s="25">
        <v>13.75</v>
      </c>
      <c r="AC353" s="25">
        <v>16.566666666666666</v>
      </c>
      <c r="AD353" s="25">
        <v>2.8166666666666664</v>
      </c>
      <c r="AE353" s="25">
        <f>Table3[[#This Row],[flies_out]]/Table3[[#This Row],[flies_in]]</f>
        <v>1.05</v>
      </c>
    </row>
    <row r="354" spans="1:31" x14ac:dyDescent="0.35">
      <c r="A354">
        <v>20</v>
      </c>
      <c r="B354" s="16" t="s">
        <v>118</v>
      </c>
      <c r="C354" s="16">
        <v>1</v>
      </c>
      <c r="D354" s="17" t="s">
        <v>106</v>
      </c>
      <c r="E354" s="16" t="s">
        <v>3</v>
      </c>
      <c r="F354">
        <v>2</v>
      </c>
      <c r="G354" s="16" t="s">
        <v>1</v>
      </c>
      <c r="H354" s="11" t="s">
        <v>2</v>
      </c>
      <c r="I354">
        <v>26</v>
      </c>
      <c r="J354">
        <v>22</v>
      </c>
      <c r="K354">
        <v>34</v>
      </c>
      <c r="L354">
        <v>3</v>
      </c>
      <c r="M354">
        <v>5</v>
      </c>
      <c r="N354">
        <v>6</v>
      </c>
      <c r="O354">
        <v>2</v>
      </c>
      <c r="P354">
        <v>5</v>
      </c>
      <c r="Q354">
        <v>6</v>
      </c>
      <c r="R354">
        <v>2</v>
      </c>
      <c r="S354">
        <v>4</v>
      </c>
      <c r="T354">
        <v>0</v>
      </c>
      <c r="U354">
        <v>0</v>
      </c>
      <c r="V354">
        <v>0</v>
      </c>
      <c r="W354">
        <v>0</v>
      </c>
      <c r="X354">
        <v>0</v>
      </c>
      <c r="Y354" s="15">
        <v>3.6260869565217391</v>
      </c>
      <c r="Z354">
        <v>100</v>
      </c>
      <c r="AA354">
        <v>115</v>
      </c>
      <c r="AB354" s="25">
        <v>13.75</v>
      </c>
      <c r="AC354" s="25">
        <v>16.649999999999999</v>
      </c>
      <c r="AD354" s="25">
        <v>2.8999999999999986</v>
      </c>
      <c r="AE354" s="25">
        <f>Table3[[#This Row],[flies_out]]/Table3[[#This Row],[flies_in]]</f>
        <v>1.1499999999999999</v>
      </c>
    </row>
    <row r="355" spans="1:31" x14ac:dyDescent="0.35">
      <c r="A355">
        <v>20</v>
      </c>
      <c r="B355" s="16" t="s">
        <v>118</v>
      </c>
      <c r="C355" s="16">
        <v>1</v>
      </c>
      <c r="D355" s="17" t="s">
        <v>106</v>
      </c>
      <c r="E355" s="16" t="s">
        <v>3</v>
      </c>
      <c r="F355">
        <v>2</v>
      </c>
      <c r="G355" s="16" t="s">
        <v>114</v>
      </c>
      <c r="H355" s="11" t="s">
        <v>0</v>
      </c>
      <c r="I355">
        <v>30</v>
      </c>
      <c r="J355">
        <v>17</v>
      </c>
      <c r="K355">
        <v>9</v>
      </c>
      <c r="L355">
        <v>12</v>
      </c>
      <c r="M355">
        <v>19</v>
      </c>
      <c r="N355">
        <v>13</v>
      </c>
      <c r="O355">
        <v>2</v>
      </c>
      <c r="P355">
        <v>4</v>
      </c>
      <c r="Q355">
        <v>2</v>
      </c>
      <c r="R355">
        <v>0</v>
      </c>
      <c r="S355">
        <v>2</v>
      </c>
      <c r="T355">
        <v>1</v>
      </c>
      <c r="U355">
        <v>0</v>
      </c>
      <c r="V355">
        <v>0</v>
      </c>
      <c r="W355">
        <v>0</v>
      </c>
      <c r="X355">
        <v>0</v>
      </c>
      <c r="Y355" s="15">
        <v>3.6936936936936937</v>
      </c>
      <c r="Z355">
        <v>150</v>
      </c>
      <c r="AA355">
        <v>111</v>
      </c>
      <c r="AB355" s="25">
        <v>13.75</v>
      </c>
      <c r="AC355" s="25">
        <v>16.766666666666666</v>
      </c>
      <c r="AD355" s="25">
        <v>3.0166666666666657</v>
      </c>
      <c r="AE355" s="25">
        <f>Table3[[#This Row],[flies_out]]/Table3[[#This Row],[flies_in]]</f>
        <v>0.74</v>
      </c>
    </row>
    <row r="356" spans="1:31" x14ac:dyDescent="0.35">
      <c r="A356">
        <v>20</v>
      </c>
      <c r="B356" s="16" t="s">
        <v>117</v>
      </c>
      <c r="C356" s="16">
        <v>2</v>
      </c>
      <c r="D356" s="17" t="s">
        <v>104</v>
      </c>
      <c r="E356" s="16" t="s">
        <v>3</v>
      </c>
      <c r="F356">
        <v>3</v>
      </c>
      <c r="G356" s="16" t="s">
        <v>112</v>
      </c>
      <c r="H356" s="11" t="s">
        <v>0</v>
      </c>
      <c r="I356">
        <v>6</v>
      </c>
      <c r="J356">
        <v>5</v>
      </c>
      <c r="K356">
        <v>3</v>
      </c>
      <c r="L356">
        <v>1</v>
      </c>
      <c r="M356">
        <v>5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5</v>
      </c>
      <c r="W356">
        <v>0</v>
      </c>
      <c r="X356">
        <v>0</v>
      </c>
      <c r="Y356" s="15">
        <v>5.2592592592592595</v>
      </c>
      <c r="Z356">
        <v>125</v>
      </c>
      <c r="AA356">
        <v>27</v>
      </c>
      <c r="AB356" s="25">
        <v>9.4166666666666661</v>
      </c>
      <c r="AC356" s="25">
        <v>12.583333333333334</v>
      </c>
      <c r="AD356" s="25">
        <v>3.1666666666666679</v>
      </c>
      <c r="AE356" s="25">
        <f>Table3[[#This Row],[flies_out]]/Table3[[#This Row],[flies_in]]</f>
        <v>0.216</v>
      </c>
    </row>
    <row r="357" spans="1:31" x14ac:dyDescent="0.35">
      <c r="A357">
        <v>20</v>
      </c>
      <c r="B357" s="16" t="s">
        <v>117</v>
      </c>
      <c r="C357" s="16">
        <v>2</v>
      </c>
      <c r="D357" s="17" t="s">
        <v>104</v>
      </c>
      <c r="E357" s="16" t="s">
        <v>3</v>
      </c>
      <c r="F357">
        <v>3</v>
      </c>
      <c r="G357" s="16" t="s">
        <v>113</v>
      </c>
      <c r="H357" s="11" t="s">
        <v>2</v>
      </c>
      <c r="I357">
        <v>8</v>
      </c>
      <c r="J357">
        <v>3</v>
      </c>
      <c r="K357">
        <v>1</v>
      </c>
      <c r="L357">
        <v>5</v>
      </c>
      <c r="M357">
        <v>6</v>
      </c>
      <c r="N357">
        <v>10</v>
      </c>
      <c r="O357">
        <v>17</v>
      </c>
      <c r="P357">
        <v>5</v>
      </c>
      <c r="Q357">
        <v>5</v>
      </c>
      <c r="R357">
        <v>5</v>
      </c>
      <c r="S357">
        <v>5</v>
      </c>
      <c r="T357">
        <v>5</v>
      </c>
      <c r="U357">
        <v>8</v>
      </c>
      <c r="V357">
        <v>5</v>
      </c>
      <c r="W357">
        <v>4</v>
      </c>
      <c r="X357">
        <v>3</v>
      </c>
      <c r="Y357" s="15">
        <v>8.189473684210526</v>
      </c>
      <c r="Z357">
        <v>150</v>
      </c>
      <c r="AA357">
        <v>95</v>
      </c>
      <c r="AB357" s="25">
        <v>9.4166666666666661</v>
      </c>
      <c r="AC357" s="25">
        <v>12.65</v>
      </c>
      <c r="AD357" s="25">
        <v>3.2333333333333343</v>
      </c>
      <c r="AE357" s="25">
        <f>Table3[[#This Row],[flies_out]]/Table3[[#This Row],[flies_in]]</f>
        <v>0.6333333333333333</v>
      </c>
    </row>
    <row r="358" spans="1:31" x14ac:dyDescent="0.35">
      <c r="A358">
        <v>20</v>
      </c>
      <c r="B358" s="16" t="s">
        <v>117</v>
      </c>
      <c r="C358" s="16">
        <v>2</v>
      </c>
      <c r="D358" s="17" t="s">
        <v>104</v>
      </c>
      <c r="E358" s="16" t="s">
        <v>3</v>
      </c>
      <c r="F358">
        <v>3</v>
      </c>
      <c r="G358" s="16" t="s">
        <v>1</v>
      </c>
      <c r="H358" s="11" t="s">
        <v>2</v>
      </c>
      <c r="I358">
        <v>7</v>
      </c>
      <c r="J358">
        <v>9</v>
      </c>
      <c r="K358">
        <v>14</v>
      </c>
      <c r="L358">
        <v>2</v>
      </c>
      <c r="M358">
        <v>2</v>
      </c>
      <c r="N358">
        <v>12</v>
      </c>
      <c r="O358">
        <v>4</v>
      </c>
      <c r="P358">
        <v>7</v>
      </c>
      <c r="Q358">
        <v>13</v>
      </c>
      <c r="R358">
        <v>8</v>
      </c>
      <c r="S358">
        <v>17</v>
      </c>
      <c r="T358">
        <v>2</v>
      </c>
      <c r="U358">
        <v>0</v>
      </c>
      <c r="V358">
        <v>1</v>
      </c>
      <c r="W358">
        <v>1</v>
      </c>
      <c r="X358">
        <v>0</v>
      </c>
      <c r="Y358" s="15">
        <v>6.8484848484848486</v>
      </c>
      <c r="Z358">
        <v>150</v>
      </c>
      <c r="AA358">
        <v>99</v>
      </c>
      <c r="AB358" s="25">
        <v>9.4166666666666661</v>
      </c>
      <c r="AC358" s="25">
        <v>12.766666666666666</v>
      </c>
      <c r="AD358" s="25">
        <v>3.3499999999999996</v>
      </c>
      <c r="AE358" s="25">
        <f>Table3[[#This Row],[flies_out]]/Table3[[#This Row],[flies_in]]</f>
        <v>0.66</v>
      </c>
    </row>
    <row r="359" spans="1:31" x14ac:dyDescent="0.35">
      <c r="A359">
        <v>20</v>
      </c>
      <c r="B359" s="16" t="s">
        <v>117</v>
      </c>
      <c r="C359" s="16">
        <v>2</v>
      </c>
      <c r="D359" s="17" t="s">
        <v>104</v>
      </c>
      <c r="E359" s="16" t="s">
        <v>3</v>
      </c>
      <c r="F359">
        <v>3</v>
      </c>
      <c r="G359" s="16" t="s">
        <v>114</v>
      </c>
      <c r="H359" s="11" t="s">
        <v>0</v>
      </c>
      <c r="I359">
        <v>13</v>
      </c>
      <c r="J359">
        <v>16</v>
      </c>
      <c r="K359">
        <v>10</v>
      </c>
      <c r="L359">
        <v>14</v>
      </c>
      <c r="M359">
        <v>10</v>
      </c>
      <c r="N359">
        <v>11</v>
      </c>
      <c r="O359">
        <v>5</v>
      </c>
      <c r="P359">
        <v>4</v>
      </c>
      <c r="Q359">
        <v>0</v>
      </c>
      <c r="R359">
        <v>3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 s="15">
        <v>4.0804597701149428</v>
      </c>
      <c r="Z359">
        <v>125</v>
      </c>
      <c r="AA359">
        <v>87</v>
      </c>
      <c r="AB359" s="25">
        <v>9.4166666666666661</v>
      </c>
      <c r="AC359" s="25">
        <v>12.816666666666666</v>
      </c>
      <c r="AD359" s="25">
        <v>3.4000000000000004</v>
      </c>
      <c r="AE359" s="25">
        <f>Table3[[#This Row],[flies_out]]/Table3[[#This Row],[flies_in]]</f>
        <v>0.69599999999999995</v>
      </c>
    </row>
    <row r="360" spans="1:31" x14ac:dyDescent="0.35">
      <c r="A360">
        <v>20</v>
      </c>
      <c r="B360" s="16" t="s">
        <v>118</v>
      </c>
      <c r="C360" s="16">
        <v>2</v>
      </c>
      <c r="D360" s="17" t="s">
        <v>106</v>
      </c>
      <c r="E360" s="16" t="s">
        <v>3</v>
      </c>
      <c r="F360">
        <v>4</v>
      </c>
      <c r="G360" s="16" t="s">
        <v>112</v>
      </c>
      <c r="H360" s="11" t="s">
        <v>0</v>
      </c>
      <c r="I360">
        <v>19</v>
      </c>
      <c r="J360">
        <v>9</v>
      </c>
      <c r="K360">
        <v>9</v>
      </c>
      <c r="L360">
        <v>6</v>
      </c>
      <c r="M360">
        <v>4</v>
      </c>
      <c r="N360">
        <v>4</v>
      </c>
      <c r="O360">
        <v>0</v>
      </c>
      <c r="P360">
        <v>0</v>
      </c>
      <c r="Q360">
        <v>1</v>
      </c>
      <c r="R360">
        <v>1</v>
      </c>
      <c r="S360">
        <v>0</v>
      </c>
      <c r="T360">
        <v>0</v>
      </c>
      <c r="U360">
        <v>0</v>
      </c>
      <c r="V360">
        <v>1</v>
      </c>
      <c r="W360">
        <v>2</v>
      </c>
      <c r="X360">
        <v>2</v>
      </c>
      <c r="Y360" s="15">
        <v>3.9137931034482758</v>
      </c>
      <c r="Z360">
        <v>125</v>
      </c>
      <c r="AA360">
        <v>58</v>
      </c>
      <c r="AB360" s="25">
        <v>13.350000000000001</v>
      </c>
      <c r="AC360" s="25">
        <v>16.583333333333332</v>
      </c>
      <c r="AD360" s="25">
        <v>3.2333333333333307</v>
      </c>
      <c r="AE360" s="25">
        <f>Table3[[#This Row],[flies_out]]/Table3[[#This Row],[flies_in]]</f>
        <v>0.46400000000000002</v>
      </c>
    </row>
    <row r="361" spans="1:31" x14ac:dyDescent="0.35">
      <c r="A361">
        <v>20</v>
      </c>
      <c r="B361" s="16" t="s">
        <v>118</v>
      </c>
      <c r="C361" s="16">
        <v>2</v>
      </c>
      <c r="D361" s="17" t="s">
        <v>106</v>
      </c>
      <c r="E361" s="16" t="s">
        <v>3</v>
      </c>
      <c r="F361">
        <v>4</v>
      </c>
      <c r="G361" s="16" t="s">
        <v>113</v>
      </c>
      <c r="H361" s="11" t="s">
        <v>2</v>
      </c>
      <c r="I361">
        <v>8</v>
      </c>
      <c r="J361">
        <v>7</v>
      </c>
      <c r="K361">
        <v>8</v>
      </c>
      <c r="L361">
        <v>17</v>
      </c>
      <c r="M361">
        <v>11</v>
      </c>
      <c r="N361">
        <v>13</v>
      </c>
      <c r="O361">
        <v>10</v>
      </c>
      <c r="P361">
        <v>2</v>
      </c>
      <c r="Q361">
        <v>2</v>
      </c>
      <c r="R361">
        <v>6</v>
      </c>
      <c r="S361">
        <v>1</v>
      </c>
      <c r="T361">
        <v>1</v>
      </c>
      <c r="U361">
        <v>4</v>
      </c>
      <c r="V361">
        <v>0</v>
      </c>
      <c r="W361">
        <v>2</v>
      </c>
      <c r="X361">
        <v>0</v>
      </c>
      <c r="Y361" s="15">
        <v>5.6086956521739131</v>
      </c>
      <c r="Z361">
        <v>150</v>
      </c>
      <c r="AA361">
        <v>92</v>
      </c>
      <c r="AB361" s="25">
        <v>13.350000000000001</v>
      </c>
      <c r="AC361" s="25">
        <v>16.683333333333334</v>
      </c>
      <c r="AD361" s="25">
        <v>3.3333333333333321</v>
      </c>
      <c r="AE361" s="25">
        <f>Table3[[#This Row],[flies_out]]/Table3[[#This Row],[flies_in]]</f>
        <v>0.61333333333333329</v>
      </c>
    </row>
    <row r="362" spans="1:31" x14ac:dyDescent="0.35">
      <c r="A362">
        <v>20</v>
      </c>
      <c r="B362" s="16" t="s">
        <v>118</v>
      </c>
      <c r="C362" s="16">
        <v>2</v>
      </c>
      <c r="D362" s="17" t="s">
        <v>106</v>
      </c>
      <c r="E362" s="16" t="s">
        <v>3</v>
      </c>
      <c r="F362">
        <v>4</v>
      </c>
      <c r="G362" s="16" t="s">
        <v>1</v>
      </c>
      <c r="H362" s="11" t="s">
        <v>2</v>
      </c>
      <c r="I362">
        <v>18</v>
      </c>
      <c r="J362">
        <v>15</v>
      </c>
      <c r="K362">
        <v>14</v>
      </c>
      <c r="L362">
        <v>2</v>
      </c>
      <c r="M362">
        <v>5</v>
      </c>
      <c r="N362">
        <v>8</v>
      </c>
      <c r="O362">
        <v>2</v>
      </c>
      <c r="P362">
        <v>4</v>
      </c>
      <c r="Q362">
        <v>2</v>
      </c>
      <c r="R362">
        <v>0</v>
      </c>
      <c r="S362">
        <v>3</v>
      </c>
      <c r="T362">
        <v>1</v>
      </c>
      <c r="U362">
        <v>0</v>
      </c>
      <c r="V362">
        <v>0</v>
      </c>
      <c r="W362">
        <v>0</v>
      </c>
      <c r="X362">
        <v>0</v>
      </c>
      <c r="Y362" s="15">
        <v>3.7837837837837838</v>
      </c>
      <c r="Z362">
        <v>150</v>
      </c>
      <c r="AA362">
        <v>74</v>
      </c>
      <c r="AB362" s="25">
        <v>13.350000000000001</v>
      </c>
      <c r="AC362" s="25">
        <v>16.583333333333332</v>
      </c>
      <c r="AD362" s="25">
        <v>3.2333333333333307</v>
      </c>
      <c r="AE362" s="25">
        <f>Table3[[#This Row],[flies_out]]/Table3[[#This Row],[flies_in]]</f>
        <v>0.49333333333333335</v>
      </c>
    </row>
    <row r="363" spans="1:31" x14ac:dyDescent="0.35">
      <c r="A363">
        <v>20</v>
      </c>
      <c r="B363" s="16" t="s">
        <v>118</v>
      </c>
      <c r="C363" s="16">
        <v>2</v>
      </c>
      <c r="D363" s="17" t="s">
        <v>106</v>
      </c>
      <c r="E363" s="16" t="s">
        <v>3</v>
      </c>
      <c r="F363">
        <v>4</v>
      </c>
      <c r="G363" s="16" t="s">
        <v>114</v>
      </c>
      <c r="H363" s="11" t="s">
        <v>0</v>
      </c>
      <c r="I363">
        <v>28</v>
      </c>
      <c r="J363">
        <v>27</v>
      </c>
      <c r="K363">
        <v>12</v>
      </c>
      <c r="L363">
        <v>15</v>
      </c>
      <c r="M363">
        <v>15</v>
      </c>
      <c r="N363">
        <v>5</v>
      </c>
      <c r="O363">
        <v>1</v>
      </c>
      <c r="P363">
        <v>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 s="15">
        <v>3.2321428571428572</v>
      </c>
      <c r="Z363">
        <v>150</v>
      </c>
      <c r="AA363">
        <v>112</v>
      </c>
      <c r="AB363" s="25">
        <v>13.350000000000001</v>
      </c>
      <c r="AC363" s="25">
        <v>16.5</v>
      </c>
      <c r="AD363" s="25">
        <v>3.1499999999999986</v>
      </c>
      <c r="AE363" s="25">
        <f>Table3[[#This Row],[flies_out]]/Table3[[#This Row],[flies_in]]</f>
        <v>0.7466666666666667</v>
      </c>
    </row>
    <row r="364" spans="1:31" x14ac:dyDescent="0.35">
      <c r="A364">
        <v>20</v>
      </c>
      <c r="B364" s="16" t="s">
        <v>117</v>
      </c>
      <c r="C364" s="16">
        <v>3</v>
      </c>
      <c r="D364" s="17" t="s">
        <v>104</v>
      </c>
      <c r="E364" t="s">
        <v>1</v>
      </c>
      <c r="F364">
        <v>1</v>
      </c>
      <c r="G364" s="16" t="s">
        <v>113</v>
      </c>
      <c r="H364" s="11" t="s">
        <v>2</v>
      </c>
      <c r="I364">
        <v>2</v>
      </c>
      <c r="J364">
        <v>1</v>
      </c>
      <c r="K364">
        <v>0</v>
      </c>
      <c r="L364">
        <v>0</v>
      </c>
      <c r="M364">
        <v>2</v>
      </c>
      <c r="N364">
        <v>4</v>
      </c>
      <c r="O364">
        <v>4</v>
      </c>
      <c r="P364">
        <v>6</v>
      </c>
      <c r="Q364">
        <v>6</v>
      </c>
      <c r="R364">
        <v>4</v>
      </c>
      <c r="S364">
        <v>6</v>
      </c>
      <c r="T364">
        <v>3</v>
      </c>
      <c r="U364">
        <v>5</v>
      </c>
      <c r="V364">
        <v>4</v>
      </c>
      <c r="W364">
        <v>4</v>
      </c>
      <c r="X364">
        <v>1</v>
      </c>
      <c r="Y364" s="15">
        <v>9.75</v>
      </c>
      <c r="Z364">
        <v>100</v>
      </c>
      <c r="AA364">
        <v>52</v>
      </c>
      <c r="AB364" s="25">
        <v>9.7166666666666668</v>
      </c>
      <c r="AC364" s="25">
        <v>11.5</v>
      </c>
      <c r="AD364" s="25">
        <v>1.7833333333333332</v>
      </c>
      <c r="AE364" s="25">
        <f>Table3[[#This Row],[flies_out]]/Table3[[#This Row],[flies_in]]</f>
        <v>0.52</v>
      </c>
    </row>
    <row r="365" spans="1:31" x14ac:dyDescent="0.35">
      <c r="A365">
        <v>20</v>
      </c>
      <c r="B365" s="16" t="s">
        <v>117</v>
      </c>
      <c r="C365" s="16">
        <v>3</v>
      </c>
      <c r="D365" s="17" t="s">
        <v>104</v>
      </c>
      <c r="E365" t="s">
        <v>1</v>
      </c>
      <c r="F365">
        <v>1</v>
      </c>
      <c r="G365" s="16" t="s">
        <v>1</v>
      </c>
      <c r="H365" s="11" t="s">
        <v>2</v>
      </c>
      <c r="I365">
        <v>1</v>
      </c>
      <c r="J365">
        <v>4</v>
      </c>
      <c r="K365">
        <v>10</v>
      </c>
      <c r="L365">
        <v>1</v>
      </c>
      <c r="M365">
        <v>3</v>
      </c>
      <c r="N365">
        <v>5</v>
      </c>
      <c r="O365">
        <v>4</v>
      </c>
      <c r="P365">
        <v>9</v>
      </c>
      <c r="Q365">
        <v>16</v>
      </c>
      <c r="R365">
        <v>7</v>
      </c>
      <c r="S365">
        <v>12</v>
      </c>
      <c r="T365">
        <v>5</v>
      </c>
      <c r="U365">
        <v>7</v>
      </c>
      <c r="V365">
        <v>2</v>
      </c>
      <c r="W365">
        <v>5</v>
      </c>
      <c r="X365">
        <v>3</v>
      </c>
      <c r="Y365" s="15">
        <v>8.8936170212765955</v>
      </c>
      <c r="Z365">
        <v>125</v>
      </c>
      <c r="AA365">
        <v>94</v>
      </c>
      <c r="AB365" s="25">
        <v>9.7166666666666668</v>
      </c>
      <c r="AC365" s="25">
        <v>11.666666666666666</v>
      </c>
      <c r="AD365" s="25">
        <v>1.9499999999999993</v>
      </c>
      <c r="AE365" s="25">
        <f>Table3[[#This Row],[flies_out]]/Table3[[#This Row],[flies_in]]</f>
        <v>0.752</v>
      </c>
    </row>
    <row r="366" spans="1:31" x14ac:dyDescent="0.35">
      <c r="A366">
        <v>20</v>
      </c>
      <c r="B366" s="16" t="s">
        <v>117</v>
      </c>
      <c r="C366" s="16">
        <v>3</v>
      </c>
      <c r="D366" s="17" t="s">
        <v>104</v>
      </c>
      <c r="E366" t="s">
        <v>1</v>
      </c>
      <c r="F366">
        <v>1</v>
      </c>
      <c r="G366" s="16" t="s">
        <v>114</v>
      </c>
      <c r="H366" s="11" t="s">
        <v>0</v>
      </c>
      <c r="I366">
        <v>7</v>
      </c>
      <c r="J366">
        <v>15</v>
      </c>
      <c r="K366">
        <v>8</v>
      </c>
      <c r="L366">
        <v>7</v>
      </c>
      <c r="M366">
        <v>11</v>
      </c>
      <c r="N366">
        <v>14</v>
      </c>
      <c r="O366">
        <v>4</v>
      </c>
      <c r="P366">
        <v>15</v>
      </c>
      <c r="Q366">
        <v>11</v>
      </c>
      <c r="R366">
        <v>0</v>
      </c>
      <c r="S366">
        <v>9</v>
      </c>
      <c r="T366">
        <v>7</v>
      </c>
      <c r="U366">
        <v>4</v>
      </c>
      <c r="V366">
        <v>1</v>
      </c>
      <c r="W366">
        <v>0</v>
      </c>
      <c r="X366">
        <v>0</v>
      </c>
      <c r="Y366" s="15">
        <v>6.4070796460176993</v>
      </c>
      <c r="Z366">
        <v>175</v>
      </c>
      <c r="AA366">
        <v>113</v>
      </c>
      <c r="AB366" s="25">
        <v>9.7166666666666668</v>
      </c>
      <c r="AC366" s="25">
        <v>11.833333333333334</v>
      </c>
      <c r="AD366" s="25">
        <v>2.1166666666666671</v>
      </c>
      <c r="AE366" s="25">
        <f>Table3[[#This Row],[flies_out]]/Table3[[#This Row],[flies_in]]</f>
        <v>0.64571428571428569</v>
      </c>
    </row>
    <row r="367" spans="1:31" x14ac:dyDescent="0.35">
      <c r="A367">
        <v>20</v>
      </c>
      <c r="B367" s="16" t="s">
        <v>118</v>
      </c>
      <c r="C367" s="16">
        <v>3</v>
      </c>
      <c r="D367" s="17" t="s">
        <v>104</v>
      </c>
      <c r="E367" t="s">
        <v>1</v>
      </c>
      <c r="F367">
        <v>2</v>
      </c>
      <c r="G367" s="16" t="s">
        <v>113</v>
      </c>
      <c r="H367" s="11" t="s">
        <v>2</v>
      </c>
      <c r="I367">
        <v>2</v>
      </c>
      <c r="J367">
        <v>1</v>
      </c>
      <c r="K367">
        <v>2</v>
      </c>
      <c r="L367">
        <v>1</v>
      </c>
      <c r="M367">
        <v>4</v>
      </c>
      <c r="N367">
        <v>4</v>
      </c>
      <c r="O367">
        <v>5</v>
      </c>
      <c r="P367">
        <v>11</v>
      </c>
      <c r="Q367">
        <v>4</v>
      </c>
      <c r="R367">
        <v>5</v>
      </c>
      <c r="S367">
        <v>4</v>
      </c>
      <c r="T367">
        <v>9</v>
      </c>
      <c r="U367">
        <v>5</v>
      </c>
      <c r="V367">
        <v>4</v>
      </c>
      <c r="W367">
        <v>5</v>
      </c>
      <c r="X367">
        <v>0</v>
      </c>
      <c r="Y367" s="15">
        <v>9.3181818181818183</v>
      </c>
      <c r="Z367">
        <v>150</v>
      </c>
      <c r="AA367">
        <v>66</v>
      </c>
      <c r="AB367" s="25">
        <v>12.366666666666665</v>
      </c>
      <c r="AC367" s="25">
        <v>16.116666666666667</v>
      </c>
      <c r="AD367" s="25">
        <v>3.7500000000000018</v>
      </c>
      <c r="AE367" s="25">
        <f>Table3[[#This Row],[flies_out]]/Table3[[#This Row],[flies_in]]</f>
        <v>0.44</v>
      </c>
    </row>
    <row r="368" spans="1:31" x14ac:dyDescent="0.35">
      <c r="A368">
        <v>20</v>
      </c>
      <c r="B368" s="16" t="s">
        <v>118</v>
      </c>
      <c r="C368" s="16">
        <v>3</v>
      </c>
      <c r="D368" s="17" t="s">
        <v>104</v>
      </c>
      <c r="E368" t="s">
        <v>1</v>
      </c>
      <c r="F368">
        <v>2</v>
      </c>
      <c r="G368" s="16" t="s">
        <v>1</v>
      </c>
      <c r="H368" s="11" t="s">
        <v>2</v>
      </c>
      <c r="I368">
        <v>6</v>
      </c>
      <c r="J368">
        <v>3</v>
      </c>
      <c r="K368">
        <v>19</v>
      </c>
      <c r="L368">
        <v>5</v>
      </c>
      <c r="M368">
        <v>6</v>
      </c>
      <c r="N368">
        <v>8</v>
      </c>
      <c r="O368">
        <v>7</v>
      </c>
      <c r="P368">
        <v>9</v>
      </c>
      <c r="Q368">
        <v>6</v>
      </c>
      <c r="R368">
        <v>2</v>
      </c>
      <c r="S368">
        <v>8</v>
      </c>
      <c r="T368">
        <v>2</v>
      </c>
      <c r="U368">
        <v>6</v>
      </c>
      <c r="V368">
        <v>5</v>
      </c>
      <c r="W368">
        <v>2</v>
      </c>
      <c r="X368">
        <v>0</v>
      </c>
      <c r="Y368" s="15">
        <v>6.9361702127659575</v>
      </c>
      <c r="Z368">
        <v>150</v>
      </c>
      <c r="AA368">
        <v>94</v>
      </c>
      <c r="AB368" s="25">
        <v>12.366666666666665</v>
      </c>
      <c r="AC368" s="25">
        <v>16.350000000000001</v>
      </c>
      <c r="AD368" s="25">
        <v>3.9833333333333361</v>
      </c>
      <c r="AE368" s="25">
        <f>Table3[[#This Row],[flies_out]]/Table3[[#This Row],[flies_in]]</f>
        <v>0.62666666666666671</v>
      </c>
    </row>
    <row r="369" spans="1:31" x14ac:dyDescent="0.35">
      <c r="A369">
        <v>20</v>
      </c>
      <c r="B369" s="16" t="s">
        <v>118</v>
      </c>
      <c r="C369" s="16">
        <v>3</v>
      </c>
      <c r="D369" s="17" t="s">
        <v>104</v>
      </c>
      <c r="E369" t="s">
        <v>1</v>
      </c>
      <c r="F369">
        <v>2</v>
      </c>
      <c r="G369" s="16" t="s">
        <v>114</v>
      </c>
      <c r="H369" s="11" t="s">
        <v>0</v>
      </c>
      <c r="I369">
        <v>2</v>
      </c>
      <c r="J369">
        <v>4</v>
      </c>
      <c r="K369">
        <v>7</v>
      </c>
      <c r="L369">
        <v>5</v>
      </c>
      <c r="M369">
        <v>16</v>
      </c>
      <c r="N369">
        <v>19</v>
      </c>
      <c r="O369">
        <v>12</v>
      </c>
      <c r="P369">
        <v>14</v>
      </c>
      <c r="Q369">
        <v>12</v>
      </c>
      <c r="R369">
        <v>1</v>
      </c>
      <c r="S369">
        <v>10</v>
      </c>
      <c r="T369">
        <v>4</v>
      </c>
      <c r="U369">
        <v>5</v>
      </c>
      <c r="V369">
        <v>2</v>
      </c>
      <c r="W369">
        <v>0</v>
      </c>
      <c r="X369">
        <v>0</v>
      </c>
      <c r="Y369" s="15">
        <v>7.168141592920354</v>
      </c>
      <c r="Z369">
        <v>175</v>
      </c>
      <c r="AA369">
        <v>113</v>
      </c>
      <c r="AB369" s="25">
        <v>12.366666666666665</v>
      </c>
      <c r="AC369" s="25">
        <v>16.5</v>
      </c>
      <c r="AD369" s="25">
        <v>4.1333333333333346</v>
      </c>
      <c r="AE369" s="25">
        <f>Table3[[#This Row],[flies_out]]/Table3[[#This Row],[flies_in]]</f>
        <v>0.64571428571428569</v>
      </c>
    </row>
    <row r="370" spans="1:31" x14ac:dyDescent="0.35">
      <c r="A370">
        <v>20</v>
      </c>
      <c r="B370" s="16" t="s">
        <v>117</v>
      </c>
      <c r="C370">
        <v>4</v>
      </c>
      <c r="D370" s="17" t="s">
        <v>104</v>
      </c>
      <c r="E370" t="s">
        <v>1</v>
      </c>
      <c r="F370">
        <v>3</v>
      </c>
      <c r="G370" s="16" t="s">
        <v>112</v>
      </c>
      <c r="H370" s="11" t="s">
        <v>0</v>
      </c>
      <c r="I370">
        <v>0</v>
      </c>
      <c r="J370">
        <v>1</v>
      </c>
      <c r="K370">
        <v>0</v>
      </c>
      <c r="L370">
        <v>0</v>
      </c>
      <c r="M370">
        <v>2</v>
      </c>
      <c r="N370">
        <v>1</v>
      </c>
      <c r="O370">
        <v>0</v>
      </c>
      <c r="P370">
        <v>1</v>
      </c>
      <c r="Q370">
        <v>3</v>
      </c>
      <c r="R370">
        <v>7</v>
      </c>
      <c r="S370">
        <v>12</v>
      </c>
      <c r="T370">
        <v>3</v>
      </c>
      <c r="U370">
        <v>8</v>
      </c>
      <c r="V370">
        <v>1</v>
      </c>
      <c r="W370">
        <v>14</v>
      </c>
      <c r="X370">
        <v>2</v>
      </c>
      <c r="Y370" s="15">
        <v>11.836363636363636</v>
      </c>
      <c r="Z370">
        <v>75</v>
      </c>
      <c r="AA370">
        <v>55</v>
      </c>
      <c r="AB370" s="25">
        <v>8.8333333333333339</v>
      </c>
      <c r="AC370" s="25">
        <v>10.916666666666666</v>
      </c>
      <c r="AD370" s="25">
        <v>2.0833333333333321</v>
      </c>
      <c r="AE370" s="25">
        <f>Table3[[#This Row],[flies_out]]/Table3[[#This Row],[flies_in]]</f>
        <v>0.73333333333333328</v>
      </c>
    </row>
    <row r="371" spans="1:31" x14ac:dyDescent="0.35">
      <c r="A371">
        <v>20</v>
      </c>
      <c r="B371" s="16" t="s">
        <v>117</v>
      </c>
      <c r="C371">
        <v>4</v>
      </c>
      <c r="D371" s="17" t="s">
        <v>104</v>
      </c>
      <c r="E371" t="s">
        <v>1</v>
      </c>
      <c r="F371">
        <v>3</v>
      </c>
      <c r="G371" s="16" t="s">
        <v>113</v>
      </c>
      <c r="H371" s="11" t="s">
        <v>2</v>
      </c>
      <c r="I371">
        <v>9</v>
      </c>
      <c r="J371">
        <v>3</v>
      </c>
      <c r="K371">
        <v>1</v>
      </c>
      <c r="L371">
        <v>0</v>
      </c>
      <c r="M371">
        <v>2</v>
      </c>
      <c r="N371">
        <v>6</v>
      </c>
      <c r="O371">
        <v>11</v>
      </c>
      <c r="P371">
        <v>11</v>
      </c>
      <c r="Q371">
        <v>5</v>
      </c>
      <c r="R371">
        <v>14</v>
      </c>
      <c r="S371">
        <v>12</v>
      </c>
      <c r="T371">
        <v>11</v>
      </c>
      <c r="U371">
        <v>12</v>
      </c>
      <c r="V371">
        <v>8</v>
      </c>
      <c r="W371">
        <v>8</v>
      </c>
      <c r="X371">
        <v>3</v>
      </c>
      <c r="Y371" s="15">
        <v>9.6034482758620694</v>
      </c>
      <c r="Z371">
        <v>150</v>
      </c>
      <c r="AA371">
        <v>116</v>
      </c>
      <c r="AB371" s="25">
        <v>8.8333333333333339</v>
      </c>
      <c r="AC371" s="25">
        <v>11.083333333333334</v>
      </c>
      <c r="AD371" s="25">
        <v>2.25</v>
      </c>
      <c r="AE371" s="25">
        <f>Table3[[#This Row],[flies_out]]/Table3[[#This Row],[flies_in]]</f>
        <v>0.77333333333333332</v>
      </c>
    </row>
    <row r="372" spans="1:31" x14ac:dyDescent="0.35">
      <c r="A372">
        <v>20</v>
      </c>
      <c r="B372" s="16" t="s">
        <v>117</v>
      </c>
      <c r="C372">
        <v>4</v>
      </c>
      <c r="D372" s="17" t="s">
        <v>104</v>
      </c>
      <c r="E372" t="s">
        <v>1</v>
      </c>
      <c r="F372">
        <v>3</v>
      </c>
      <c r="G372" s="16" t="s">
        <v>1</v>
      </c>
      <c r="H372" s="11" t="s">
        <v>2</v>
      </c>
      <c r="I372">
        <v>0</v>
      </c>
      <c r="J372">
        <v>0</v>
      </c>
      <c r="K372">
        <v>6</v>
      </c>
      <c r="L372">
        <v>2</v>
      </c>
      <c r="M372">
        <v>1</v>
      </c>
      <c r="N372">
        <v>5</v>
      </c>
      <c r="O372">
        <v>3</v>
      </c>
      <c r="P372">
        <v>9</v>
      </c>
      <c r="Q372">
        <v>13</v>
      </c>
      <c r="R372">
        <v>8</v>
      </c>
      <c r="S372">
        <v>1</v>
      </c>
      <c r="T372">
        <v>15</v>
      </c>
      <c r="U372">
        <v>5</v>
      </c>
      <c r="V372">
        <v>6</v>
      </c>
      <c r="W372">
        <v>5</v>
      </c>
      <c r="X372">
        <v>9</v>
      </c>
      <c r="Y372" s="15">
        <v>10.340909090909092</v>
      </c>
      <c r="Z372">
        <v>150</v>
      </c>
      <c r="AA372">
        <v>88</v>
      </c>
      <c r="AB372" s="25">
        <v>8.8333333333333339</v>
      </c>
      <c r="AC372" s="25">
        <v>11.183333333333334</v>
      </c>
      <c r="AD372" s="25">
        <v>2.3499999999999996</v>
      </c>
      <c r="AE372" s="25">
        <f>Table3[[#This Row],[flies_out]]/Table3[[#This Row],[flies_in]]</f>
        <v>0.58666666666666667</v>
      </c>
    </row>
    <row r="373" spans="1:31" x14ac:dyDescent="0.35">
      <c r="A373">
        <v>20</v>
      </c>
      <c r="B373" s="16" t="s">
        <v>117</v>
      </c>
      <c r="C373">
        <v>4</v>
      </c>
      <c r="D373" s="17" t="s">
        <v>104</v>
      </c>
      <c r="E373" t="s">
        <v>1</v>
      </c>
      <c r="F373">
        <v>3</v>
      </c>
      <c r="G373" s="16" t="s">
        <v>114</v>
      </c>
      <c r="H373" s="11" t="s">
        <v>0</v>
      </c>
      <c r="I373">
        <v>0</v>
      </c>
      <c r="J373">
        <v>5</v>
      </c>
      <c r="K373">
        <v>8</v>
      </c>
      <c r="L373">
        <v>6</v>
      </c>
      <c r="M373">
        <v>7</v>
      </c>
      <c r="N373">
        <v>9</v>
      </c>
      <c r="O373">
        <v>8</v>
      </c>
      <c r="P373">
        <v>9</v>
      </c>
      <c r="Q373">
        <v>11</v>
      </c>
      <c r="R373">
        <v>1</v>
      </c>
      <c r="S373">
        <v>11</v>
      </c>
      <c r="T373">
        <v>8</v>
      </c>
      <c r="U373">
        <v>8</v>
      </c>
      <c r="V373">
        <v>9</v>
      </c>
      <c r="W373">
        <v>3</v>
      </c>
      <c r="X373">
        <v>1</v>
      </c>
      <c r="Y373" s="15">
        <v>8.5769230769230766</v>
      </c>
      <c r="Z373">
        <v>150</v>
      </c>
      <c r="AA373">
        <v>104</v>
      </c>
      <c r="AB373" s="25">
        <v>8.8333333333333339</v>
      </c>
      <c r="AC373" s="25">
        <v>11.333333333333332</v>
      </c>
      <c r="AD373" s="25">
        <v>2.4999999999999982</v>
      </c>
      <c r="AE373" s="25">
        <f>Table3[[#This Row],[flies_out]]/Table3[[#This Row],[flies_in]]</f>
        <v>0.69333333333333336</v>
      </c>
    </row>
    <row r="374" spans="1:31" x14ac:dyDescent="0.35">
      <c r="A374">
        <v>20</v>
      </c>
      <c r="B374" s="16" t="s">
        <v>118</v>
      </c>
      <c r="C374">
        <v>4</v>
      </c>
      <c r="D374" s="17" t="s">
        <v>104</v>
      </c>
      <c r="E374" t="s">
        <v>1</v>
      </c>
      <c r="F374">
        <v>4</v>
      </c>
      <c r="G374" s="16" t="s">
        <v>113</v>
      </c>
      <c r="H374" s="11" t="s">
        <v>2</v>
      </c>
      <c r="I374">
        <v>4</v>
      </c>
      <c r="J374">
        <v>2</v>
      </c>
      <c r="K374">
        <v>2</v>
      </c>
      <c r="L374">
        <v>1</v>
      </c>
      <c r="M374">
        <v>5</v>
      </c>
      <c r="N374">
        <v>6</v>
      </c>
      <c r="O374">
        <v>9</v>
      </c>
      <c r="P374">
        <v>12</v>
      </c>
      <c r="Q374">
        <v>3</v>
      </c>
      <c r="R374">
        <v>7</v>
      </c>
      <c r="S374">
        <v>5</v>
      </c>
      <c r="T374">
        <v>11</v>
      </c>
      <c r="U374">
        <v>9</v>
      </c>
      <c r="V374">
        <v>10</v>
      </c>
      <c r="W374">
        <v>2</v>
      </c>
      <c r="X374">
        <v>1</v>
      </c>
      <c r="Y374" s="15">
        <v>9.2696629213483153</v>
      </c>
      <c r="Z374">
        <v>150</v>
      </c>
      <c r="AA374">
        <v>89</v>
      </c>
      <c r="AB374" s="25">
        <v>11.75</v>
      </c>
      <c r="AC374" s="25">
        <v>15.033333333333333</v>
      </c>
      <c r="AD374" s="25">
        <v>3.2833333333333332</v>
      </c>
      <c r="AE374" s="25">
        <f>Table3[[#This Row],[flies_out]]/Table3[[#This Row],[flies_in]]</f>
        <v>0.59333333333333338</v>
      </c>
    </row>
    <row r="375" spans="1:31" x14ac:dyDescent="0.35">
      <c r="A375">
        <v>20</v>
      </c>
      <c r="B375" s="16" t="s">
        <v>118</v>
      </c>
      <c r="C375">
        <v>4</v>
      </c>
      <c r="D375" s="17" t="s">
        <v>104</v>
      </c>
      <c r="E375" t="s">
        <v>1</v>
      </c>
      <c r="F375">
        <v>4</v>
      </c>
      <c r="G375" s="16" t="s">
        <v>1</v>
      </c>
      <c r="H375" s="11" t="s">
        <v>2</v>
      </c>
      <c r="I375">
        <v>6</v>
      </c>
      <c r="J375">
        <v>7</v>
      </c>
      <c r="K375">
        <v>22</v>
      </c>
      <c r="L375">
        <v>1</v>
      </c>
      <c r="M375">
        <v>2</v>
      </c>
      <c r="N375">
        <v>10</v>
      </c>
      <c r="O375">
        <v>4</v>
      </c>
      <c r="P375">
        <v>11</v>
      </c>
      <c r="Q375">
        <v>11</v>
      </c>
      <c r="R375">
        <v>1</v>
      </c>
      <c r="S375">
        <v>13</v>
      </c>
      <c r="T375">
        <v>1</v>
      </c>
      <c r="U375">
        <v>2</v>
      </c>
      <c r="V375">
        <v>2</v>
      </c>
      <c r="W375">
        <v>3</v>
      </c>
      <c r="X375">
        <v>5</v>
      </c>
      <c r="Y375" s="15">
        <v>7.1188118811881189</v>
      </c>
      <c r="Z375">
        <v>150</v>
      </c>
      <c r="AA375">
        <v>101</v>
      </c>
      <c r="AB375" s="25">
        <v>11.75</v>
      </c>
      <c r="AC375" s="25">
        <v>15.149999999999999</v>
      </c>
      <c r="AD375" s="25">
        <v>3.3999999999999986</v>
      </c>
      <c r="AE375" s="25">
        <f>Table3[[#This Row],[flies_out]]/Table3[[#This Row],[flies_in]]</f>
        <v>0.67333333333333334</v>
      </c>
    </row>
    <row r="376" spans="1:31" x14ac:dyDescent="0.35">
      <c r="A376">
        <v>20</v>
      </c>
      <c r="B376" s="16" t="s">
        <v>118</v>
      </c>
      <c r="C376">
        <v>4</v>
      </c>
      <c r="D376" s="17" t="s">
        <v>104</v>
      </c>
      <c r="E376" t="s">
        <v>1</v>
      </c>
      <c r="F376">
        <v>4</v>
      </c>
      <c r="G376" s="16" t="s">
        <v>114</v>
      </c>
      <c r="H376" s="11" t="s">
        <v>0</v>
      </c>
      <c r="I376">
        <v>2</v>
      </c>
      <c r="J376">
        <v>2</v>
      </c>
      <c r="K376">
        <v>10</v>
      </c>
      <c r="L376">
        <v>3</v>
      </c>
      <c r="M376">
        <v>11</v>
      </c>
      <c r="N376">
        <v>10</v>
      </c>
      <c r="O376">
        <v>12</v>
      </c>
      <c r="P376">
        <v>11</v>
      </c>
      <c r="Q376">
        <v>8</v>
      </c>
      <c r="R376">
        <v>2</v>
      </c>
      <c r="S376">
        <v>7</v>
      </c>
      <c r="T376">
        <v>4</v>
      </c>
      <c r="U376">
        <v>2</v>
      </c>
      <c r="V376">
        <v>2</v>
      </c>
      <c r="W376">
        <v>0</v>
      </c>
      <c r="X376">
        <v>0</v>
      </c>
      <c r="Y376" s="15">
        <v>7.0465116279069768</v>
      </c>
      <c r="Z376">
        <v>125</v>
      </c>
      <c r="AA376">
        <v>86</v>
      </c>
      <c r="AB376" s="25">
        <v>11.75</v>
      </c>
      <c r="AC376" s="25">
        <v>15.266666666666666</v>
      </c>
      <c r="AD376" s="25">
        <v>3.5166666666666657</v>
      </c>
      <c r="AE376" s="25">
        <f>Table3[[#This Row],[flies_out]]/Table3[[#This Row],[flies_in]]</f>
        <v>0.68799999999999994</v>
      </c>
    </row>
    <row r="377" spans="1:31" x14ac:dyDescent="0.35">
      <c r="A377">
        <v>21</v>
      </c>
      <c r="B377" s="16" t="s">
        <v>117</v>
      </c>
      <c r="C377">
        <v>1</v>
      </c>
      <c r="D377" s="2" t="s">
        <v>104</v>
      </c>
      <c r="E377" t="s">
        <v>3</v>
      </c>
      <c r="F377">
        <v>1</v>
      </c>
      <c r="G377" t="s">
        <v>112</v>
      </c>
      <c r="H377" s="11" t="s">
        <v>2</v>
      </c>
      <c r="I377">
        <v>10</v>
      </c>
      <c r="J377">
        <v>6</v>
      </c>
      <c r="K377">
        <v>4</v>
      </c>
      <c r="L377">
        <v>3</v>
      </c>
      <c r="M377">
        <v>5</v>
      </c>
      <c r="N377">
        <v>1</v>
      </c>
      <c r="O377">
        <v>1</v>
      </c>
      <c r="P377">
        <v>6</v>
      </c>
      <c r="Q377">
        <v>6</v>
      </c>
      <c r="R377">
        <v>4</v>
      </c>
      <c r="S377">
        <v>9</v>
      </c>
      <c r="T377">
        <v>5</v>
      </c>
      <c r="U377">
        <v>6</v>
      </c>
      <c r="V377">
        <v>9</v>
      </c>
      <c r="W377">
        <v>17</v>
      </c>
      <c r="X377">
        <v>6</v>
      </c>
      <c r="Y377" s="15">
        <v>9.591836734693878</v>
      </c>
      <c r="Z377">
        <v>150</v>
      </c>
      <c r="AA377">
        <v>98</v>
      </c>
      <c r="AB377" s="25">
        <v>9.8333333333333321</v>
      </c>
      <c r="AC377" s="25">
        <v>12.583333333333334</v>
      </c>
      <c r="AD377" s="25">
        <v>2.7500000000000018</v>
      </c>
      <c r="AE377" s="25">
        <v>0.65333333333333332</v>
      </c>
    </row>
    <row r="378" spans="1:31" x14ac:dyDescent="0.35">
      <c r="A378">
        <v>21</v>
      </c>
      <c r="B378" s="16" t="s">
        <v>117</v>
      </c>
      <c r="C378">
        <v>1</v>
      </c>
      <c r="D378" s="2" t="s">
        <v>104</v>
      </c>
      <c r="E378" t="s">
        <v>3</v>
      </c>
      <c r="F378">
        <v>1</v>
      </c>
      <c r="G378" t="s">
        <v>113</v>
      </c>
      <c r="H378" s="11" t="s">
        <v>0</v>
      </c>
      <c r="I378">
        <v>4</v>
      </c>
      <c r="J378">
        <v>9</v>
      </c>
      <c r="K378">
        <v>8</v>
      </c>
      <c r="L378">
        <v>6</v>
      </c>
      <c r="M378">
        <v>8</v>
      </c>
      <c r="N378">
        <v>2</v>
      </c>
      <c r="O378">
        <v>8</v>
      </c>
      <c r="P378">
        <v>24</v>
      </c>
      <c r="Q378">
        <v>8</v>
      </c>
      <c r="R378">
        <v>7</v>
      </c>
      <c r="S378">
        <v>7</v>
      </c>
      <c r="T378">
        <v>2</v>
      </c>
      <c r="U378">
        <v>3</v>
      </c>
      <c r="V378">
        <v>0</v>
      </c>
      <c r="W378">
        <v>0</v>
      </c>
      <c r="X378">
        <v>1</v>
      </c>
      <c r="Y378" s="15">
        <v>6.8865979381443303</v>
      </c>
      <c r="Z378">
        <v>150</v>
      </c>
      <c r="AA378">
        <v>97</v>
      </c>
      <c r="AB378" s="25">
        <v>9.8333333333333321</v>
      </c>
      <c r="AC378" s="25">
        <v>12.75</v>
      </c>
      <c r="AD378" s="25">
        <v>2.9166666666666679</v>
      </c>
      <c r="AE378" s="25">
        <v>0.64666666666666661</v>
      </c>
    </row>
    <row r="379" spans="1:31" x14ac:dyDescent="0.35">
      <c r="A379">
        <v>21</v>
      </c>
      <c r="B379" s="16" t="s">
        <v>117</v>
      </c>
      <c r="C379">
        <v>1</v>
      </c>
      <c r="D379" s="2" t="s">
        <v>104</v>
      </c>
      <c r="E379" t="s">
        <v>3</v>
      </c>
      <c r="F379">
        <v>1</v>
      </c>
      <c r="G379" t="s">
        <v>1</v>
      </c>
      <c r="H379" s="11" t="s">
        <v>0</v>
      </c>
      <c r="I379">
        <v>9</v>
      </c>
      <c r="J379">
        <v>12</v>
      </c>
      <c r="K379">
        <v>10</v>
      </c>
      <c r="L379">
        <v>1</v>
      </c>
      <c r="M379">
        <v>0</v>
      </c>
      <c r="N379">
        <v>5</v>
      </c>
      <c r="O379">
        <v>8</v>
      </c>
      <c r="P379">
        <v>11</v>
      </c>
      <c r="Q379">
        <v>14</v>
      </c>
      <c r="R379">
        <v>5</v>
      </c>
      <c r="S379">
        <v>2</v>
      </c>
      <c r="T379">
        <v>0</v>
      </c>
      <c r="U379">
        <v>2</v>
      </c>
      <c r="V379">
        <v>0</v>
      </c>
      <c r="W379">
        <v>0</v>
      </c>
      <c r="X379">
        <v>0</v>
      </c>
      <c r="Y379" s="15">
        <v>5.8860759493670889</v>
      </c>
      <c r="Z379">
        <v>125</v>
      </c>
      <c r="AA379">
        <v>79</v>
      </c>
      <c r="AB379" s="25">
        <v>9.8333333333333321</v>
      </c>
      <c r="AC379" s="25">
        <v>12.866666666666667</v>
      </c>
      <c r="AD379" s="25">
        <v>3.033333333333335</v>
      </c>
      <c r="AE379" s="25">
        <v>0.63200000000000001</v>
      </c>
    </row>
    <row r="380" spans="1:31" x14ac:dyDescent="0.35">
      <c r="A380">
        <v>21</v>
      </c>
      <c r="B380" s="16" t="s">
        <v>117</v>
      </c>
      <c r="C380">
        <v>1</v>
      </c>
      <c r="D380" s="2" t="s">
        <v>104</v>
      </c>
      <c r="E380" t="s">
        <v>3</v>
      </c>
      <c r="F380">
        <v>1</v>
      </c>
      <c r="G380" t="s">
        <v>114</v>
      </c>
      <c r="H380" s="11" t="s">
        <v>2</v>
      </c>
      <c r="I380">
        <v>12</v>
      </c>
      <c r="J380">
        <v>11</v>
      </c>
      <c r="K380">
        <v>4</v>
      </c>
      <c r="L380">
        <v>6</v>
      </c>
      <c r="M380">
        <v>7</v>
      </c>
      <c r="N380">
        <v>6</v>
      </c>
      <c r="O380">
        <v>3</v>
      </c>
      <c r="P380">
        <v>7</v>
      </c>
      <c r="Q380">
        <v>5</v>
      </c>
      <c r="R380">
        <v>0</v>
      </c>
      <c r="S380">
        <v>5</v>
      </c>
      <c r="T380">
        <v>2</v>
      </c>
      <c r="U380">
        <v>2</v>
      </c>
      <c r="V380">
        <v>0</v>
      </c>
      <c r="W380">
        <v>0</v>
      </c>
      <c r="X380">
        <v>0</v>
      </c>
      <c r="Y380" s="15">
        <v>5.2571428571428571</v>
      </c>
      <c r="Z380">
        <v>150</v>
      </c>
      <c r="AA380">
        <v>70</v>
      </c>
      <c r="AB380" s="25">
        <v>9.8333333333333321</v>
      </c>
      <c r="AC380" s="25">
        <v>13</v>
      </c>
      <c r="AD380" s="25">
        <v>3.1666666666666679</v>
      </c>
      <c r="AE380" s="25">
        <v>0.46666666666666667</v>
      </c>
    </row>
    <row r="381" spans="1:31" x14ac:dyDescent="0.35">
      <c r="A381">
        <v>21</v>
      </c>
      <c r="B381" s="16" t="s">
        <v>118</v>
      </c>
      <c r="C381">
        <v>1</v>
      </c>
      <c r="D381" s="2" t="s">
        <v>106</v>
      </c>
      <c r="E381" t="s">
        <v>3</v>
      </c>
      <c r="F381">
        <v>2</v>
      </c>
      <c r="G381" t="s">
        <v>112</v>
      </c>
      <c r="H381" s="11" t="s">
        <v>2</v>
      </c>
      <c r="I381">
        <v>8</v>
      </c>
      <c r="J381">
        <v>9</v>
      </c>
      <c r="K381">
        <v>7</v>
      </c>
      <c r="L381">
        <v>4</v>
      </c>
      <c r="M381">
        <v>22</v>
      </c>
      <c r="N381">
        <v>3</v>
      </c>
      <c r="O381">
        <v>4</v>
      </c>
      <c r="P381">
        <v>1</v>
      </c>
      <c r="Q381">
        <v>4</v>
      </c>
      <c r="R381">
        <v>2</v>
      </c>
      <c r="S381">
        <v>8</v>
      </c>
      <c r="T381">
        <v>0</v>
      </c>
      <c r="U381">
        <v>9</v>
      </c>
      <c r="V381">
        <v>0</v>
      </c>
      <c r="W381">
        <v>11</v>
      </c>
      <c r="X381">
        <v>2</v>
      </c>
      <c r="Y381" s="15">
        <v>7.2872340425531918</v>
      </c>
      <c r="Z381">
        <v>150</v>
      </c>
      <c r="AA381">
        <v>94</v>
      </c>
      <c r="AB381" s="25">
        <v>13.5</v>
      </c>
      <c r="AC381" s="25">
        <v>16.5</v>
      </c>
      <c r="AD381" s="25">
        <v>3</v>
      </c>
      <c r="AE381" s="25">
        <v>0.62666666666666671</v>
      </c>
    </row>
    <row r="382" spans="1:31" x14ac:dyDescent="0.35">
      <c r="A382">
        <v>21</v>
      </c>
      <c r="B382" s="16" t="s">
        <v>118</v>
      </c>
      <c r="C382">
        <v>1</v>
      </c>
      <c r="D382" s="2" t="s">
        <v>106</v>
      </c>
      <c r="E382" t="s">
        <v>3</v>
      </c>
      <c r="F382">
        <v>2</v>
      </c>
      <c r="G382" t="s">
        <v>113</v>
      </c>
      <c r="H382" s="11" t="s">
        <v>0</v>
      </c>
      <c r="I382">
        <v>41</v>
      </c>
      <c r="J382">
        <v>14</v>
      </c>
      <c r="K382">
        <v>16</v>
      </c>
      <c r="L382">
        <v>9</v>
      </c>
      <c r="M382">
        <v>19</v>
      </c>
      <c r="N382">
        <v>23</v>
      </c>
      <c r="O382">
        <v>20</v>
      </c>
      <c r="P382">
        <v>16</v>
      </c>
      <c r="Q382">
        <v>6</v>
      </c>
      <c r="R382">
        <v>0</v>
      </c>
      <c r="S382">
        <v>3</v>
      </c>
      <c r="T382">
        <v>1</v>
      </c>
      <c r="U382">
        <v>0</v>
      </c>
      <c r="V382">
        <v>0</v>
      </c>
      <c r="W382">
        <v>0</v>
      </c>
      <c r="X382">
        <v>1</v>
      </c>
      <c r="Y382" s="15">
        <v>4.550295857988166</v>
      </c>
      <c r="Z382">
        <v>175</v>
      </c>
      <c r="AA382">
        <v>169</v>
      </c>
      <c r="AB382" s="25">
        <v>13.5</v>
      </c>
      <c r="AC382" s="25">
        <v>16.566666666666666</v>
      </c>
      <c r="AD382" s="25">
        <v>3.0666666666666664</v>
      </c>
      <c r="AE382" s="25">
        <v>0.96571428571428575</v>
      </c>
    </row>
    <row r="383" spans="1:31" x14ac:dyDescent="0.35">
      <c r="A383">
        <v>21</v>
      </c>
      <c r="B383" s="16" t="s">
        <v>118</v>
      </c>
      <c r="C383">
        <v>1</v>
      </c>
      <c r="D383" s="2" t="s">
        <v>106</v>
      </c>
      <c r="E383" t="s">
        <v>3</v>
      </c>
      <c r="F383">
        <v>2</v>
      </c>
      <c r="G383" t="s">
        <v>1</v>
      </c>
      <c r="H383" s="11" t="s">
        <v>0</v>
      </c>
      <c r="I383">
        <v>42</v>
      </c>
      <c r="J383">
        <v>30</v>
      </c>
      <c r="K383">
        <v>24</v>
      </c>
      <c r="L383">
        <v>3</v>
      </c>
      <c r="M383">
        <v>7</v>
      </c>
      <c r="N383">
        <v>15</v>
      </c>
      <c r="O383">
        <v>3</v>
      </c>
      <c r="P383">
        <v>5</v>
      </c>
      <c r="Q383">
        <v>3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 s="15">
        <v>3.0827067669172932</v>
      </c>
      <c r="Z383">
        <v>150</v>
      </c>
      <c r="AA383">
        <v>133</v>
      </c>
      <c r="AB383" s="25">
        <v>13.5</v>
      </c>
      <c r="AC383" s="25">
        <v>16.666666666666664</v>
      </c>
      <c r="AD383" s="25">
        <v>3.1666666666666643</v>
      </c>
      <c r="AE383" s="25">
        <v>0.88666666666666671</v>
      </c>
    </row>
    <row r="384" spans="1:31" x14ac:dyDescent="0.35">
      <c r="A384">
        <v>21</v>
      </c>
      <c r="B384" s="16" t="s">
        <v>118</v>
      </c>
      <c r="C384">
        <v>1</v>
      </c>
      <c r="D384" s="2" t="s">
        <v>106</v>
      </c>
      <c r="E384" t="s">
        <v>3</v>
      </c>
      <c r="F384">
        <v>2</v>
      </c>
      <c r="G384" t="s">
        <v>114</v>
      </c>
      <c r="H384" s="11" t="s">
        <v>2</v>
      </c>
      <c r="I384">
        <v>20</v>
      </c>
      <c r="J384">
        <v>25</v>
      </c>
      <c r="K384">
        <v>23</v>
      </c>
      <c r="L384">
        <v>14</v>
      </c>
      <c r="M384">
        <v>18</v>
      </c>
      <c r="N384">
        <v>13</v>
      </c>
      <c r="O384">
        <v>3</v>
      </c>
      <c r="P384">
        <v>3</v>
      </c>
      <c r="Q384">
        <v>0</v>
      </c>
      <c r="R384">
        <v>1</v>
      </c>
      <c r="S384">
        <v>2</v>
      </c>
      <c r="T384">
        <v>1</v>
      </c>
      <c r="U384">
        <v>0</v>
      </c>
      <c r="V384">
        <v>0</v>
      </c>
      <c r="W384">
        <v>0</v>
      </c>
      <c r="X384">
        <v>0</v>
      </c>
      <c r="Y384" s="15">
        <v>3.6747967479674797</v>
      </c>
      <c r="Z384">
        <v>150</v>
      </c>
      <c r="AA384">
        <v>123</v>
      </c>
      <c r="AB384" s="25">
        <v>13.5</v>
      </c>
      <c r="AC384" s="25">
        <v>16.75</v>
      </c>
      <c r="AD384" s="25">
        <v>3.25</v>
      </c>
      <c r="AE384" s="25">
        <v>0.82</v>
      </c>
    </row>
    <row r="385" spans="1:31" x14ac:dyDescent="0.35">
      <c r="A385">
        <v>21</v>
      </c>
      <c r="B385" s="16" t="s">
        <v>117</v>
      </c>
      <c r="C385">
        <v>2</v>
      </c>
      <c r="D385" s="2" t="s">
        <v>104</v>
      </c>
      <c r="E385" t="s">
        <v>3</v>
      </c>
      <c r="F385">
        <v>3</v>
      </c>
      <c r="G385" t="s">
        <v>112</v>
      </c>
      <c r="H385" s="11" t="s">
        <v>2</v>
      </c>
      <c r="I385">
        <v>4</v>
      </c>
      <c r="J385">
        <v>5</v>
      </c>
      <c r="K385">
        <v>2</v>
      </c>
      <c r="L385">
        <v>5</v>
      </c>
      <c r="M385">
        <v>8</v>
      </c>
      <c r="N385">
        <v>3</v>
      </c>
      <c r="O385">
        <v>1</v>
      </c>
      <c r="P385">
        <v>3</v>
      </c>
      <c r="Q385">
        <v>6</v>
      </c>
      <c r="R385">
        <v>4</v>
      </c>
      <c r="S385">
        <v>4</v>
      </c>
      <c r="T385">
        <v>5</v>
      </c>
      <c r="U385">
        <v>0</v>
      </c>
      <c r="V385">
        <v>4</v>
      </c>
      <c r="W385">
        <v>13</v>
      </c>
      <c r="X385">
        <v>6</v>
      </c>
      <c r="Y385" s="15">
        <v>9.2328767123287676</v>
      </c>
      <c r="Z385">
        <v>150</v>
      </c>
      <c r="AA385">
        <v>73</v>
      </c>
      <c r="AB385" s="25">
        <v>9.1666666666666661</v>
      </c>
      <c r="AC385" s="25">
        <v>12.5</v>
      </c>
      <c r="AD385" s="25">
        <v>3.3333333333333339</v>
      </c>
      <c r="AE385" s="25">
        <v>0.48666666666666669</v>
      </c>
    </row>
    <row r="386" spans="1:31" x14ac:dyDescent="0.35">
      <c r="A386">
        <v>21</v>
      </c>
      <c r="B386" s="16" t="s">
        <v>117</v>
      </c>
      <c r="C386">
        <v>2</v>
      </c>
      <c r="D386" s="2" t="s">
        <v>104</v>
      </c>
      <c r="E386" t="s">
        <v>3</v>
      </c>
      <c r="F386">
        <v>3</v>
      </c>
      <c r="G386" t="s">
        <v>113</v>
      </c>
      <c r="H386" s="11" t="s">
        <v>0</v>
      </c>
      <c r="I386">
        <v>7</v>
      </c>
      <c r="J386">
        <v>8</v>
      </c>
      <c r="K386">
        <v>10</v>
      </c>
      <c r="L386">
        <v>2</v>
      </c>
      <c r="M386">
        <v>4</v>
      </c>
      <c r="N386">
        <v>3</v>
      </c>
      <c r="O386">
        <v>23</v>
      </c>
      <c r="P386">
        <v>21</v>
      </c>
      <c r="Q386">
        <v>9</v>
      </c>
      <c r="R386">
        <v>5</v>
      </c>
      <c r="S386">
        <v>2</v>
      </c>
      <c r="T386">
        <v>5</v>
      </c>
      <c r="U386">
        <v>4</v>
      </c>
      <c r="V386">
        <v>1</v>
      </c>
      <c r="W386">
        <v>2</v>
      </c>
      <c r="X386">
        <v>0</v>
      </c>
      <c r="Y386" s="15">
        <v>6.9528301886792452</v>
      </c>
      <c r="Z386">
        <v>150</v>
      </c>
      <c r="AA386">
        <v>106</v>
      </c>
      <c r="AB386" s="25">
        <v>9.1666666666666661</v>
      </c>
      <c r="AC386" s="25">
        <v>12.583333333333334</v>
      </c>
      <c r="AD386" s="25">
        <v>3.4166666666666679</v>
      </c>
      <c r="AE386" s="25">
        <v>0.70666666666666667</v>
      </c>
    </row>
    <row r="387" spans="1:31" x14ac:dyDescent="0.35">
      <c r="A387">
        <v>21</v>
      </c>
      <c r="B387" s="16" t="s">
        <v>117</v>
      </c>
      <c r="C387">
        <v>2</v>
      </c>
      <c r="D387" s="2" t="s">
        <v>104</v>
      </c>
      <c r="E387" t="s">
        <v>3</v>
      </c>
      <c r="F387">
        <v>3</v>
      </c>
      <c r="G387" t="s">
        <v>1</v>
      </c>
      <c r="H387" s="11" t="s">
        <v>0</v>
      </c>
      <c r="I387">
        <v>19</v>
      </c>
      <c r="J387">
        <v>16</v>
      </c>
      <c r="K387">
        <v>24</v>
      </c>
      <c r="L387">
        <v>2</v>
      </c>
      <c r="M387">
        <v>2</v>
      </c>
      <c r="N387">
        <v>13</v>
      </c>
      <c r="O387">
        <v>6</v>
      </c>
      <c r="P387">
        <v>6</v>
      </c>
      <c r="Q387">
        <v>13</v>
      </c>
      <c r="R387">
        <v>3</v>
      </c>
      <c r="S387">
        <v>7</v>
      </c>
      <c r="T387">
        <v>1</v>
      </c>
      <c r="U387">
        <v>0</v>
      </c>
      <c r="V387">
        <v>0</v>
      </c>
      <c r="W387">
        <v>0</v>
      </c>
      <c r="X387">
        <v>0</v>
      </c>
      <c r="Y387" s="15">
        <v>4.8660714285714288</v>
      </c>
      <c r="Z387">
        <v>150</v>
      </c>
      <c r="AA387">
        <v>112</v>
      </c>
      <c r="AB387" s="25">
        <v>9.1666666666666554</v>
      </c>
      <c r="AC387" s="25">
        <v>12.666666666666668</v>
      </c>
      <c r="AD387" s="25">
        <v>3.5000000000000124</v>
      </c>
      <c r="AE387" s="25">
        <v>0.7466666666666667</v>
      </c>
    </row>
    <row r="388" spans="1:31" x14ac:dyDescent="0.35">
      <c r="A388">
        <v>21</v>
      </c>
      <c r="B388" s="16" t="s">
        <v>117</v>
      </c>
      <c r="C388">
        <v>2</v>
      </c>
      <c r="D388" s="2" t="s">
        <v>104</v>
      </c>
      <c r="E388" t="s">
        <v>3</v>
      </c>
      <c r="F388">
        <v>3</v>
      </c>
      <c r="G388" t="s">
        <v>114</v>
      </c>
      <c r="H388" s="11" t="s">
        <v>2</v>
      </c>
      <c r="I388">
        <v>15</v>
      </c>
      <c r="J388">
        <v>14</v>
      </c>
      <c r="K388">
        <v>15</v>
      </c>
      <c r="L388">
        <v>10</v>
      </c>
      <c r="M388">
        <v>9</v>
      </c>
      <c r="N388">
        <v>10</v>
      </c>
      <c r="O388">
        <v>2</v>
      </c>
      <c r="P388">
        <v>4</v>
      </c>
      <c r="Q388">
        <v>5</v>
      </c>
      <c r="R388">
        <v>0</v>
      </c>
      <c r="S388">
        <v>0</v>
      </c>
      <c r="T388">
        <v>1</v>
      </c>
      <c r="U388">
        <v>0</v>
      </c>
      <c r="V388">
        <v>1</v>
      </c>
      <c r="W388">
        <v>1</v>
      </c>
      <c r="X388">
        <v>0</v>
      </c>
      <c r="Y388" s="15">
        <v>4.195402298850575</v>
      </c>
      <c r="Z388">
        <v>150</v>
      </c>
      <c r="AA388">
        <v>87</v>
      </c>
      <c r="AB388" s="25">
        <v>9.1666666666666554</v>
      </c>
      <c r="AC388" s="25">
        <v>12.733333333333334</v>
      </c>
      <c r="AD388" s="25">
        <v>3.5666666666666789</v>
      </c>
      <c r="AE388" s="25">
        <v>0.57999999999999996</v>
      </c>
    </row>
    <row r="389" spans="1:31" x14ac:dyDescent="0.35">
      <c r="A389">
        <v>21</v>
      </c>
      <c r="B389" s="16" t="s">
        <v>118</v>
      </c>
      <c r="C389">
        <v>2</v>
      </c>
      <c r="D389" s="2" t="s">
        <v>106</v>
      </c>
      <c r="E389" t="s">
        <v>3</v>
      </c>
      <c r="F389">
        <v>4</v>
      </c>
      <c r="G389" t="s">
        <v>112</v>
      </c>
      <c r="H389" s="11" t="s">
        <v>2</v>
      </c>
      <c r="I389">
        <v>9</v>
      </c>
      <c r="J389">
        <v>12</v>
      </c>
      <c r="K389">
        <v>3</v>
      </c>
      <c r="L389">
        <v>8</v>
      </c>
      <c r="M389">
        <v>11</v>
      </c>
      <c r="N389">
        <v>7</v>
      </c>
      <c r="O389">
        <v>3</v>
      </c>
      <c r="P389">
        <v>3</v>
      </c>
      <c r="Q389">
        <v>8</v>
      </c>
      <c r="R389">
        <v>3</v>
      </c>
      <c r="S389">
        <v>5</v>
      </c>
      <c r="T389">
        <v>3</v>
      </c>
      <c r="U389">
        <v>4</v>
      </c>
      <c r="V389">
        <v>0</v>
      </c>
      <c r="W389">
        <v>11</v>
      </c>
      <c r="X389">
        <v>1</v>
      </c>
      <c r="Y389" s="15">
        <v>7.0549450549450547</v>
      </c>
      <c r="Z389">
        <v>150</v>
      </c>
      <c r="AA389">
        <v>91</v>
      </c>
      <c r="AB389" s="25">
        <v>13.333333333333334</v>
      </c>
      <c r="AC389" s="25">
        <v>16.5</v>
      </c>
      <c r="AD389" s="25">
        <v>3.1666666666666661</v>
      </c>
      <c r="AE389" s="25">
        <v>0.60666666666666669</v>
      </c>
    </row>
    <row r="390" spans="1:31" x14ac:dyDescent="0.35">
      <c r="A390">
        <v>21</v>
      </c>
      <c r="B390" s="16" t="s">
        <v>118</v>
      </c>
      <c r="C390">
        <v>2</v>
      </c>
      <c r="D390" s="2" t="s">
        <v>106</v>
      </c>
      <c r="E390" t="s">
        <v>3</v>
      </c>
      <c r="F390">
        <v>4</v>
      </c>
      <c r="G390" t="s">
        <v>113</v>
      </c>
      <c r="H390" s="11" t="s">
        <v>0</v>
      </c>
      <c r="I390">
        <v>18</v>
      </c>
      <c r="J390">
        <v>11</v>
      </c>
      <c r="K390">
        <v>12</v>
      </c>
      <c r="L390">
        <v>10</v>
      </c>
      <c r="M390">
        <v>11</v>
      </c>
      <c r="N390">
        <v>11</v>
      </c>
      <c r="O390">
        <v>24</v>
      </c>
      <c r="P390">
        <v>19</v>
      </c>
      <c r="Q390">
        <v>6</v>
      </c>
      <c r="R390">
        <v>9</v>
      </c>
      <c r="S390">
        <v>1</v>
      </c>
      <c r="T390">
        <v>4</v>
      </c>
      <c r="U390">
        <v>0</v>
      </c>
      <c r="V390">
        <v>0</v>
      </c>
      <c r="W390">
        <v>2</v>
      </c>
      <c r="X390">
        <v>0</v>
      </c>
      <c r="Y390" s="15">
        <v>5.72463768115942</v>
      </c>
      <c r="Z390">
        <v>150</v>
      </c>
      <c r="AA390">
        <v>138</v>
      </c>
      <c r="AB390" s="25">
        <v>13.333333333333334</v>
      </c>
      <c r="AC390" s="25">
        <v>16.566666666666666</v>
      </c>
      <c r="AD390" s="25">
        <v>3.2333333333333325</v>
      </c>
      <c r="AE390" s="25">
        <v>0.92</v>
      </c>
    </row>
    <row r="391" spans="1:31" x14ac:dyDescent="0.35">
      <c r="A391">
        <v>21</v>
      </c>
      <c r="B391" s="16" t="s">
        <v>118</v>
      </c>
      <c r="C391">
        <v>2</v>
      </c>
      <c r="D391" s="2" t="s">
        <v>106</v>
      </c>
      <c r="E391" t="s">
        <v>3</v>
      </c>
      <c r="F391">
        <v>4</v>
      </c>
      <c r="G391" t="s">
        <v>1</v>
      </c>
      <c r="H391" s="11" t="s">
        <v>0</v>
      </c>
      <c r="I391">
        <v>59</v>
      </c>
      <c r="J391">
        <v>32</v>
      </c>
      <c r="K391">
        <v>22</v>
      </c>
      <c r="L391">
        <v>3</v>
      </c>
      <c r="M391">
        <v>5</v>
      </c>
      <c r="N391">
        <v>9</v>
      </c>
      <c r="O391">
        <v>2</v>
      </c>
      <c r="P391">
        <v>8</v>
      </c>
      <c r="Q391">
        <v>9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 s="15">
        <v>3.0463576158940397</v>
      </c>
      <c r="Z391">
        <v>150</v>
      </c>
      <c r="AA391">
        <v>151</v>
      </c>
      <c r="AB391" s="25">
        <v>13.333333333333334</v>
      </c>
      <c r="AC391" s="25">
        <v>16.600000000000001</v>
      </c>
      <c r="AD391" s="25">
        <v>3.2666666666666675</v>
      </c>
      <c r="AE391" s="25">
        <v>1.0066666666666666</v>
      </c>
    </row>
    <row r="392" spans="1:31" x14ac:dyDescent="0.35">
      <c r="A392">
        <v>21</v>
      </c>
      <c r="B392" s="16" t="s">
        <v>118</v>
      </c>
      <c r="C392">
        <v>2</v>
      </c>
      <c r="D392" s="2" t="s">
        <v>106</v>
      </c>
      <c r="E392" t="s">
        <v>3</v>
      </c>
      <c r="F392">
        <v>4</v>
      </c>
      <c r="G392" t="s">
        <v>114</v>
      </c>
      <c r="H392" s="11" t="s">
        <v>2</v>
      </c>
      <c r="I392">
        <v>45</v>
      </c>
      <c r="J392">
        <v>32</v>
      </c>
      <c r="K392">
        <v>21</v>
      </c>
      <c r="L392">
        <v>21</v>
      </c>
      <c r="M392">
        <v>20</v>
      </c>
      <c r="N392">
        <v>10</v>
      </c>
      <c r="O392">
        <v>0</v>
      </c>
      <c r="P392">
        <v>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 s="15">
        <v>2.8947368421052633</v>
      </c>
      <c r="Z392">
        <v>150</v>
      </c>
      <c r="AA392">
        <v>152</v>
      </c>
      <c r="AB392" s="25">
        <v>13.333333333333334</v>
      </c>
      <c r="AC392" s="25">
        <v>16.683333333333334</v>
      </c>
      <c r="AD392" s="25">
        <v>3.3499999999999996</v>
      </c>
      <c r="AE392" s="25">
        <v>1.0133333333333334</v>
      </c>
    </row>
    <row r="393" spans="1:31" x14ac:dyDescent="0.35">
      <c r="A393">
        <v>22</v>
      </c>
      <c r="B393" s="16" t="s">
        <v>117</v>
      </c>
      <c r="C393">
        <v>1</v>
      </c>
      <c r="D393" s="2" t="s">
        <v>104</v>
      </c>
      <c r="E393" t="s">
        <v>3</v>
      </c>
      <c r="F393">
        <v>2</v>
      </c>
      <c r="G393" t="s">
        <v>112</v>
      </c>
      <c r="H393" s="11" t="s">
        <v>2</v>
      </c>
      <c r="I393">
        <v>3</v>
      </c>
      <c r="J393">
        <v>1</v>
      </c>
      <c r="K393">
        <v>0</v>
      </c>
      <c r="L393">
        <v>0</v>
      </c>
      <c r="M393">
        <v>3</v>
      </c>
      <c r="N393">
        <v>5</v>
      </c>
      <c r="O393">
        <v>2</v>
      </c>
      <c r="P393">
        <v>1</v>
      </c>
      <c r="Q393">
        <v>1</v>
      </c>
      <c r="R393">
        <v>6</v>
      </c>
      <c r="S393">
        <v>6</v>
      </c>
      <c r="T393">
        <v>3</v>
      </c>
      <c r="U393">
        <v>5</v>
      </c>
      <c r="V393">
        <v>1</v>
      </c>
      <c r="W393">
        <v>3</v>
      </c>
      <c r="X393">
        <v>7</v>
      </c>
      <c r="Y393" s="15">
        <v>10.191489361702128</v>
      </c>
      <c r="Z393">
        <v>150</v>
      </c>
      <c r="AA393">
        <v>47</v>
      </c>
      <c r="AB393" s="25">
        <v>9.25</v>
      </c>
      <c r="AC393" s="25">
        <v>12.5</v>
      </c>
      <c r="AD393" s="25">
        <v>3.25</v>
      </c>
      <c r="AE393" s="25">
        <v>0.31333333333333335</v>
      </c>
    </row>
    <row r="394" spans="1:31" x14ac:dyDescent="0.35">
      <c r="A394">
        <v>22</v>
      </c>
      <c r="B394" s="16" t="s">
        <v>117</v>
      </c>
      <c r="C394">
        <v>1</v>
      </c>
      <c r="D394" s="2" t="s">
        <v>104</v>
      </c>
      <c r="E394" t="s">
        <v>3</v>
      </c>
      <c r="F394">
        <v>2</v>
      </c>
      <c r="G394" t="s">
        <v>113</v>
      </c>
      <c r="H394" s="11" t="s">
        <v>0</v>
      </c>
      <c r="I394">
        <v>1</v>
      </c>
      <c r="J394">
        <v>4</v>
      </c>
      <c r="K394">
        <v>7</v>
      </c>
      <c r="L394">
        <v>1</v>
      </c>
      <c r="M394">
        <v>3</v>
      </c>
      <c r="N394">
        <v>9</v>
      </c>
      <c r="O394">
        <v>15</v>
      </c>
      <c r="P394">
        <v>3</v>
      </c>
      <c r="Q394">
        <v>1</v>
      </c>
      <c r="R394">
        <v>2</v>
      </c>
      <c r="S394">
        <v>1</v>
      </c>
      <c r="T394">
        <v>0</v>
      </c>
      <c r="U394">
        <v>0</v>
      </c>
      <c r="V394">
        <v>1</v>
      </c>
      <c r="W394">
        <v>0</v>
      </c>
      <c r="X394">
        <v>0</v>
      </c>
      <c r="Y394" s="15">
        <v>5.958333333333333</v>
      </c>
      <c r="Z394">
        <v>125</v>
      </c>
      <c r="AA394">
        <v>48</v>
      </c>
      <c r="AB394" s="25">
        <v>9.25</v>
      </c>
      <c r="AC394" s="25">
        <v>12.5</v>
      </c>
      <c r="AD394" s="25">
        <v>3.25</v>
      </c>
      <c r="AE394" s="25">
        <v>0.38400000000000001</v>
      </c>
    </row>
    <row r="395" spans="1:31" x14ac:dyDescent="0.35">
      <c r="A395">
        <v>22</v>
      </c>
      <c r="B395" s="16" t="s">
        <v>117</v>
      </c>
      <c r="C395">
        <v>1</v>
      </c>
      <c r="D395" s="2" t="s">
        <v>104</v>
      </c>
      <c r="E395" t="s">
        <v>3</v>
      </c>
      <c r="F395">
        <v>2</v>
      </c>
      <c r="G395" t="s">
        <v>1</v>
      </c>
      <c r="H395" s="11" t="s">
        <v>0</v>
      </c>
      <c r="I395">
        <v>12</v>
      </c>
      <c r="J395">
        <v>7</v>
      </c>
      <c r="K395">
        <v>16</v>
      </c>
      <c r="L395">
        <v>1</v>
      </c>
      <c r="M395">
        <v>0</v>
      </c>
      <c r="N395">
        <v>12</v>
      </c>
      <c r="O395">
        <v>0</v>
      </c>
      <c r="P395">
        <v>1</v>
      </c>
      <c r="Q395">
        <v>11</v>
      </c>
      <c r="R395">
        <v>4</v>
      </c>
      <c r="S395">
        <v>1</v>
      </c>
      <c r="T395">
        <v>0</v>
      </c>
      <c r="U395">
        <v>0</v>
      </c>
      <c r="V395">
        <v>0</v>
      </c>
      <c r="W395">
        <v>1</v>
      </c>
      <c r="X395">
        <v>0</v>
      </c>
      <c r="Y395" s="15">
        <v>4.8939393939393936</v>
      </c>
      <c r="Z395">
        <v>150</v>
      </c>
      <c r="AA395">
        <v>66</v>
      </c>
      <c r="AB395" s="25">
        <v>9.25</v>
      </c>
      <c r="AC395" s="25">
        <v>12.5</v>
      </c>
      <c r="AD395" s="25">
        <v>3.25</v>
      </c>
      <c r="AE395" s="25">
        <v>0.44</v>
      </c>
    </row>
    <row r="396" spans="1:31" x14ac:dyDescent="0.35">
      <c r="A396">
        <v>22</v>
      </c>
      <c r="B396" s="16" t="s">
        <v>117</v>
      </c>
      <c r="C396">
        <v>1</v>
      </c>
      <c r="D396" s="2" t="s">
        <v>104</v>
      </c>
      <c r="E396" t="s">
        <v>3</v>
      </c>
      <c r="F396">
        <v>2</v>
      </c>
      <c r="G396" t="s">
        <v>114</v>
      </c>
      <c r="H396" s="11" t="s">
        <v>2</v>
      </c>
      <c r="I396">
        <v>6</v>
      </c>
      <c r="J396">
        <v>13</v>
      </c>
      <c r="K396">
        <v>10</v>
      </c>
      <c r="L396">
        <v>7</v>
      </c>
      <c r="M396">
        <v>8</v>
      </c>
      <c r="N396">
        <v>5</v>
      </c>
      <c r="O396">
        <v>0</v>
      </c>
      <c r="P396">
        <v>10</v>
      </c>
      <c r="Q396">
        <v>2</v>
      </c>
      <c r="R396">
        <v>0</v>
      </c>
      <c r="S396">
        <v>1</v>
      </c>
      <c r="T396">
        <v>0</v>
      </c>
      <c r="U396">
        <v>2</v>
      </c>
      <c r="V396">
        <v>0</v>
      </c>
      <c r="W396">
        <v>1</v>
      </c>
      <c r="X396">
        <v>0</v>
      </c>
      <c r="Y396" s="15">
        <v>4.7692307692307692</v>
      </c>
      <c r="Z396">
        <v>150</v>
      </c>
      <c r="AA396">
        <v>65</v>
      </c>
      <c r="AB396" s="25">
        <v>9.25</v>
      </c>
      <c r="AC396" s="25">
        <v>12.5</v>
      </c>
      <c r="AD396" s="25">
        <v>3.25</v>
      </c>
      <c r="AE396" s="25">
        <v>0.43333333333333335</v>
      </c>
    </row>
    <row r="397" spans="1:31" x14ac:dyDescent="0.35">
      <c r="A397">
        <v>22</v>
      </c>
      <c r="B397" s="16" t="s">
        <v>118</v>
      </c>
      <c r="C397">
        <v>1</v>
      </c>
      <c r="D397" s="2" t="s">
        <v>106</v>
      </c>
      <c r="E397" t="s">
        <v>3</v>
      </c>
      <c r="F397">
        <v>1</v>
      </c>
      <c r="G397" t="s">
        <v>112</v>
      </c>
      <c r="H397" s="11" t="s">
        <v>2</v>
      </c>
      <c r="I397">
        <v>11</v>
      </c>
      <c r="J397">
        <v>8</v>
      </c>
      <c r="K397">
        <v>9</v>
      </c>
      <c r="L397">
        <v>3</v>
      </c>
      <c r="M397">
        <v>12</v>
      </c>
      <c r="N397">
        <v>6</v>
      </c>
      <c r="O397">
        <v>5</v>
      </c>
      <c r="P397">
        <v>1</v>
      </c>
      <c r="Q397">
        <v>3</v>
      </c>
      <c r="R397">
        <v>2</v>
      </c>
      <c r="S397">
        <v>3</v>
      </c>
      <c r="T397">
        <v>0</v>
      </c>
      <c r="U397">
        <v>2</v>
      </c>
      <c r="V397">
        <v>0</v>
      </c>
      <c r="W397">
        <v>14</v>
      </c>
      <c r="X397">
        <v>9</v>
      </c>
      <c r="Y397" s="15">
        <v>7.5568181818181817</v>
      </c>
      <c r="Z397">
        <v>150</v>
      </c>
      <c r="AA397">
        <v>88</v>
      </c>
      <c r="AB397" s="25">
        <v>13.583333333333332</v>
      </c>
      <c r="AC397" s="25">
        <v>16.5</v>
      </c>
      <c r="AD397" s="25">
        <v>2.9166666666666679</v>
      </c>
      <c r="AE397" s="25">
        <v>0.58666666666666667</v>
      </c>
    </row>
    <row r="398" spans="1:31" x14ac:dyDescent="0.35">
      <c r="A398">
        <v>22</v>
      </c>
      <c r="B398" s="16" t="s">
        <v>118</v>
      </c>
      <c r="C398">
        <v>1</v>
      </c>
      <c r="D398" s="2" t="s">
        <v>106</v>
      </c>
      <c r="E398" t="s">
        <v>3</v>
      </c>
      <c r="F398">
        <v>1</v>
      </c>
      <c r="G398" t="s">
        <v>113</v>
      </c>
      <c r="H398" s="11" t="s">
        <v>0</v>
      </c>
      <c r="I398">
        <v>24</v>
      </c>
      <c r="J398">
        <v>27</v>
      </c>
      <c r="K398">
        <v>10</v>
      </c>
      <c r="L398">
        <v>10</v>
      </c>
      <c r="M398">
        <v>7</v>
      </c>
      <c r="N398">
        <v>8</v>
      </c>
      <c r="O398">
        <v>20</v>
      </c>
      <c r="P398">
        <v>25</v>
      </c>
      <c r="Q398">
        <v>5</v>
      </c>
      <c r="R398">
        <v>2</v>
      </c>
      <c r="S398">
        <v>5</v>
      </c>
      <c r="T398">
        <v>1</v>
      </c>
      <c r="U398">
        <v>0</v>
      </c>
      <c r="V398">
        <v>0</v>
      </c>
      <c r="W398">
        <v>0</v>
      </c>
      <c r="X398">
        <v>0</v>
      </c>
      <c r="Y398" s="15">
        <v>4.8819444444444446</v>
      </c>
      <c r="Z398">
        <v>150</v>
      </c>
      <c r="AA398">
        <v>144</v>
      </c>
      <c r="AB398" s="25">
        <v>13.583333333333332</v>
      </c>
      <c r="AC398" s="25">
        <v>16.5</v>
      </c>
      <c r="AD398" s="25">
        <v>2.9166666666666679</v>
      </c>
      <c r="AE398" s="25">
        <v>0.96</v>
      </c>
    </row>
    <row r="399" spans="1:31" x14ac:dyDescent="0.35">
      <c r="A399">
        <v>22</v>
      </c>
      <c r="B399" s="16" t="s">
        <v>118</v>
      </c>
      <c r="C399">
        <v>1</v>
      </c>
      <c r="D399" s="2" t="s">
        <v>106</v>
      </c>
      <c r="E399" t="s">
        <v>3</v>
      </c>
      <c r="F399">
        <v>1</v>
      </c>
      <c r="G399" t="s">
        <v>1</v>
      </c>
      <c r="H399" s="11" t="s">
        <v>0</v>
      </c>
      <c r="I399">
        <v>22</v>
      </c>
      <c r="J399">
        <v>29</v>
      </c>
      <c r="K399">
        <v>19</v>
      </c>
      <c r="L399">
        <v>5</v>
      </c>
      <c r="M399">
        <v>8</v>
      </c>
      <c r="N399">
        <v>11</v>
      </c>
      <c r="O399">
        <v>3</v>
      </c>
      <c r="P399">
        <v>4</v>
      </c>
      <c r="Q399">
        <v>11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 s="15">
        <v>3.8245614035087718</v>
      </c>
      <c r="Z399">
        <v>150</v>
      </c>
      <c r="AA399">
        <v>114</v>
      </c>
      <c r="AB399" s="25">
        <v>13.583333333333332</v>
      </c>
      <c r="AC399" s="25">
        <v>16.5</v>
      </c>
      <c r="AD399" s="25">
        <v>2.9166666666666679</v>
      </c>
      <c r="AE399" s="25">
        <v>0.76</v>
      </c>
    </row>
    <row r="400" spans="1:31" x14ac:dyDescent="0.35">
      <c r="A400">
        <v>22</v>
      </c>
      <c r="B400" s="16" t="s">
        <v>118</v>
      </c>
      <c r="C400">
        <v>1</v>
      </c>
      <c r="D400" s="2" t="s">
        <v>106</v>
      </c>
      <c r="E400" t="s">
        <v>3</v>
      </c>
      <c r="F400">
        <v>1</v>
      </c>
      <c r="G400" t="s">
        <v>114</v>
      </c>
      <c r="H400" s="11" t="s">
        <v>2</v>
      </c>
      <c r="I400">
        <v>20</v>
      </c>
      <c r="J400">
        <v>15</v>
      </c>
      <c r="K400">
        <v>19</v>
      </c>
      <c r="L400">
        <v>10</v>
      </c>
      <c r="M400">
        <v>11</v>
      </c>
      <c r="N400">
        <v>8</v>
      </c>
      <c r="O400">
        <v>4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 s="15">
        <v>3.1954022988505746</v>
      </c>
      <c r="Z400">
        <v>150</v>
      </c>
      <c r="AA400">
        <v>87</v>
      </c>
      <c r="AB400" s="25">
        <v>13.583333333333332</v>
      </c>
      <c r="AC400" s="25">
        <v>16.5</v>
      </c>
      <c r="AD400" s="25">
        <v>2.9166666666666679</v>
      </c>
      <c r="AE400" s="25">
        <v>0.57999999999999996</v>
      </c>
    </row>
    <row r="401" spans="1:31" x14ac:dyDescent="0.35">
      <c r="A401">
        <v>22</v>
      </c>
      <c r="B401" s="16" t="s">
        <v>117</v>
      </c>
      <c r="C401">
        <v>2</v>
      </c>
      <c r="D401" s="2" t="s">
        <v>104</v>
      </c>
      <c r="E401" t="s">
        <v>3</v>
      </c>
      <c r="F401">
        <v>4</v>
      </c>
      <c r="G401" t="s">
        <v>112</v>
      </c>
      <c r="H401" s="11" t="s">
        <v>2</v>
      </c>
      <c r="I401">
        <v>2</v>
      </c>
      <c r="J401">
        <v>4</v>
      </c>
      <c r="K401">
        <v>1</v>
      </c>
      <c r="L401">
        <v>0</v>
      </c>
      <c r="M401">
        <v>4</v>
      </c>
      <c r="N401">
        <v>1</v>
      </c>
      <c r="O401">
        <v>3</v>
      </c>
      <c r="P401">
        <v>5</v>
      </c>
      <c r="Q401">
        <v>9</v>
      </c>
      <c r="R401">
        <v>2</v>
      </c>
      <c r="S401">
        <v>5</v>
      </c>
      <c r="T401">
        <v>3</v>
      </c>
      <c r="U401">
        <v>3</v>
      </c>
      <c r="V401">
        <v>5</v>
      </c>
      <c r="W401">
        <v>14</v>
      </c>
      <c r="X401">
        <v>12</v>
      </c>
      <c r="Y401" s="15">
        <v>11</v>
      </c>
      <c r="Z401">
        <v>150</v>
      </c>
      <c r="AA401">
        <v>73</v>
      </c>
      <c r="AB401" s="25">
        <v>9.0833333333333321</v>
      </c>
      <c r="AC401" s="25">
        <v>12.5</v>
      </c>
      <c r="AD401" s="25">
        <v>3.4166666666666679</v>
      </c>
      <c r="AE401" s="25">
        <v>0.48666666666666669</v>
      </c>
    </row>
    <row r="402" spans="1:31" x14ac:dyDescent="0.35">
      <c r="A402">
        <v>22</v>
      </c>
      <c r="B402" s="16" t="s">
        <v>117</v>
      </c>
      <c r="C402">
        <v>2</v>
      </c>
      <c r="D402" s="2" t="s">
        <v>104</v>
      </c>
      <c r="E402" t="s">
        <v>3</v>
      </c>
      <c r="F402">
        <v>4</v>
      </c>
      <c r="G402" t="s">
        <v>1</v>
      </c>
      <c r="H402" s="11" t="s">
        <v>0</v>
      </c>
      <c r="I402">
        <v>12</v>
      </c>
      <c r="J402">
        <v>14</v>
      </c>
      <c r="K402">
        <v>12</v>
      </c>
      <c r="L402">
        <v>1</v>
      </c>
      <c r="M402">
        <v>1</v>
      </c>
      <c r="N402">
        <v>3</v>
      </c>
      <c r="O402">
        <v>3</v>
      </c>
      <c r="P402">
        <v>2</v>
      </c>
      <c r="Q402">
        <v>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 s="15">
        <v>3.4905660377358489</v>
      </c>
      <c r="Z402">
        <v>100</v>
      </c>
      <c r="AA402">
        <v>53</v>
      </c>
      <c r="AB402" s="25">
        <v>9.0833333333333321</v>
      </c>
      <c r="AC402" s="25">
        <v>12.5</v>
      </c>
      <c r="AD402" s="25">
        <v>3.4166666666666679</v>
      </c>
      <c r="AE402" s="25">
        <v>0.53</v>
      </c>
    </row>
    <row r="403" spans="1:31" x14ac:dyDescent="0.35">
      <c r="A403">
        <v>22</v>
      </c>
      <c r="B403" s="16" t="s">
        <v>117</v>
      </c>
      <c r="C403">
        <v>2</v>
      </c>
      <c r="D403" s="2" t="s">
        <v>104</v>
      </c>
      <c r="E403" t="s">
        <v>3</v>
      </c>
      <c r="F403">
        <v>4</v>
      </c>
      <c r="G403" t="s">
        <v>114</v>
      </c>
      <c r="H403" s="11" t="s">
        <v>2</v>
      </c>
      <c r="I403">
        <v>24</v>
      </c>
      <c r="J403">
        <v>24</v>
      </c>
      <c r="K403">
        <v>21</v>
      </c>
      <c r="L403">
        <v>15</v>
      </c>
      <c r="M403">
        <v>14</v>
      </c>
      <c r="N403">
        <v>7</v>
      </c>
      <c r="O403">
        <v>2</v>
      </c>
      <c r="P403">
        <v>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 s="15">
        <v>3.2342342342342341</v>
      </c>
      <c r="Z403">
        <v>150</v>
      </c>
      <c r="AA403">
        <v>111</v>
      </c>
      <c r="AB403" s="25">
        <v>9.0833333333333321</v>
      </c>
      <c r="AC403" s="25">
        <v>12.5</v>
      </c>
      <c r="AD403" s="25">
        <v>3.4166666666666679</v>
      </c>
      <c r="AE403" s="25">
        <v>0.74</v>
      </c>
    </row>
    <row r="404" spans="1:31" x14ac:dyDescent="0.35">
      <c r="A404">
        <v>22</v>
      </c>
      <c r="B404" s="16" t="s">
        <v>118</v>
      </c>
      <c r="C404">
        <v>2</v>
      </c>
      <c r="D404" s="2" t="s">
        <v>104</v>
      </c>
      <c r="E404" t="s">
        <v>3</v>
      </c>
      <c r="F404">
        <v>3</v>
      </c>
      <c r="G404" t="s">
        <v>112</v>
      </c>
      <c r="H404" s="11" t="s">
        <v>2</v>
      </c>
      <c r="I404">
        <v>13</v>
      </c>
      <c r="J404">
        <v>9</v>
      </c>
      <c r="K404">
        <v>5</v>
      </c>
      <c r="L404">
        <v>9</v>
      </c>
      <c r="M404">
        <v>3</v>
      </c>
      <c r="N404">
        <v>3</v>
      </c>
      <c r="O404">
        <v>0</v>
      </c>
      <c r="P404">
        <v>4</v>
      </c>
      <c r="Q404">
        <v>11</v>
      </c>
      <c r="R404">
        <v>5</v>
      </c>
      <c r="S404">
        <v>7</v>
      </c>
      <c r="T404">
        <v>1</v>
      </c>
      <c r="U404">
        <v>5</v>
      </c>
      <c r="V404">
        <v>1</v>
      </c>
      <c r="W404">
        <v>13</v>
      </c>
      <c r="X404">
        <v>4</v>
      </c>
      <c r="Y404" s="15">
        <v>7.774193548387097</v>
      </c>
      <c r="Z404">
        <v>125</v>
      </c>
      <c r="AA404">
        <v>93</v>
      </c>
      <c r="AB404" s="25">
        <v>13.333333333333334</v>
      </c>
      <c r="AC404" s="25">
        <v>16.5</v>
      </c>
      <c r="AD404" s="25">
        <v>3.1666666666666661</v>
      </c>
      <c r="AE404" s="25">
        <v>0.74399999999999999</v>
      </c>
    </row>
    <row r="405" spans="1:31" x14ac:dyDescent="0.35">
      <c r="A405">
        <v>22</v>
      </c>
      <c r="B405" s="16" t="s">
        <v>118</v>
      </c>
      <c r="C405">
        <v>2</v>
      </c>
      <c r="D405" s="2" t="s">
        <v>104</v>
      </c>
      <c r="E405" t="s">
        <v>3</v>
      </c>
      <c r="F405">
        <v>3</v>
      </c>
      <c r="G405" t="s">
        <v>1</v>
      </c>
      <c r="H405" s="11" t="s">
        <v>0</v>
      </c>
      <c r="I405">
        <v>24</v>
      </c>
      <c r="J405">
        <v>32</v>
      </c>
      <c r="K405">
        <v>21</v>
      </c>
      <c r="L405">
        <v>2</v>
      </c>
      <c r="M405">
        <v>4</v>
      </c>
      <c r="N405">
        <v>7</v>
      </c>
      <c r="O405">
        <v>2</v>
      </c>
      <c r="P405">
        <v>3</v>
      </c>
      <c r="Q405">
        <v>2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 s="15">
        <v>2.8556701030927836</v>
      </c>
      <c r="Z405">
        <v>175</v>
      </c>
      <c r="AA405">
        <v>97</v>
      </c>
      <c r="AB405" s="25">
        <v>13.333333333333334</v>
      </c>
      <c r="AC405" s="25">
        <v>16.5</v>
      </c>
      <c r="AD405" s="25">
        <v>3.1666666666666661</v>
      </c>
      <c r="AE405" s="25">
        <v>0.55428571428571427</v>
      </c>
    </row>
    <row r="406" spans="1:31" x14ac:dyDescent="0.35">
      <c r="A406">
        <v>22</v>
      </c>
      <c r="B406" s="16" t="s">
        <v>118</v>
      </c>
      <c r="C406">
        <v>2</v>
      </c>
      <c r="D406" s="2" t="s">
        <v>104</v>
      </c>
      <c r="E406" t="s">
        <v>3</v>
      </c>
      <c r="F406">
        <v>3</v>
      </c>
      <c r="G406" t="s">
        <v>114</v>
      </c>
      <c r="H406" s="11" t="s">
        <v>2</v>
      </c>
      <c r="I406">
        <v>19</v>
      </c>
      <c r="J406">
        <v>28</v>
      </c>
      <c r="K406">
        <v>15</v>
      </c>
      <c r="L406">
        <v>14</v>
      </c>
      <c r="M406">
        <v>7</v>
      </c>
      <c r="N406">
        <v>6</v>
      </c>
      <c r="O406">
        <v>3</v>
      </c>
      <c r="P406">
        <v>3</v>
      </c>
      <c r="Q406">
        <v>0</v>
      </c>
      <c r="R406">
        <v>1</v>
      </c>
      <c r="S406">
        <v>2</v>
      </c>
      <c r="T406">
        <v>1</v>
      </c>
      <c r="U406">
        <v>0</v>
      </c>
      <c r="V406">
        <v>0</v>
      </c>
      <c r="W406">
        <v>0</v>
      </c>
      <c r="X406">
        <v>0</v>
      </c>
      <c r="Y406" s="15">
        <v>3.393939393939394</v>
      </c>
      <c r="Z406">
        <v>175</v>
      </c>
      <c r="AA406">
        <v>99</v>
      </c>
      <c r="AB406" s="25">
        <v>13.333333333333334</v>
      </c>
      <c r="AC406" s="25">
        <v>16.5</v>
      </c>
      <c r="AD406" s="25">
        <v>3.1666666666666661</v>
      </c>
      <c r="AE406" s="25">
        <v>0.56571428571428573</v>
      </c>
    </row>
    <row r="407" spans="1:31" x14ac:dyDescent="0.35">
      <c r="A407">
        <v>23</v>
      </c>
      <c r="B407" s="16" t="s">
        <v>117</v>
      </c>
      <c r="D407" s="2" t="s">
        <v>104</v>
      </c>
      <c r="E407" t="s">
        <v>3</v>
      </c>
      <c r="F407">
        <v>2</v>
      </c>
      <c r="G407" t="s">
        <v>112</v>
      </c>
      <c r="H407" s="11" t="s">
        <v>0</v>
      </c>
      <c r="I407">
        <v>6</v>
      </c>
      <c r="J407">
        <v>5</v>
      </c>
      <c r="K407">
        <v>4</v>
      </c>
      <c r="L407">
        <v>6</v>
      </c>
      <c r="M407">
        <v>3</v>
      </c>
      <c r="N407">
        <v>0</v>
      </c>
      <c r="O407">
        <v>0</v>
      </c>
      <c r="P407">
        <v>0</v>
      </c>
      <c r="Q407">
        <v>0</v>
      </c>
      <c r="R407">
        <v>3</v>
      </c>
      <c r="S407">
        <v>3</v>
      </c>
      <c r="T407">
        <v>1</v>
      </c>
      <c r="U407">
        <v>7</v>
      </c>
      <c r="V407">
        <v>0</v>
      </c>
      <c r="W407">
        <v>0</v>
      </c>
      <c r="X407">
        <v>0</v>
      </c>
      <c r="Y407" s="15">
        <v>6.1315789473684212</v>
      </c>
      <c r="Z407">
        <v>100</v>
      </c>
      <c r="AA407">
        <v>38</v>
      </c>
      <c r="AB407" s="25">
        <v>9.5833333333333339</v>
      </c>
      <c r="AC407" s="25">
        <v>12.866666666666667</v>
      </c>
      <c r="AD407" s="25">
        <v>3.2833333333333332</v>
      </c>
      <c r="AE407">
        <f>[1]!Table3[[#This Row],[total_Flies]]/[1]!Table3[[#This Row],[flies_in]]</f>
        <v>0.38</v>
      </c>
    </row>
    <row r="408" spans="1:31" x14ac:dyDescent="0.35">
      <c r="A408">
        <v>23</v>
      </c>
      <c r="B408" s="16" t="s">
        <v>117</v>
      </c>
      <c r="D408" s="2" t="s">
        <v>104</v>
      </c>
      <c r="E408" t="s">
        <v>3</v>
      </c>
      <c r="F408">
        <v>2</v>
      </c>
      <c r="G408" t="s">
        <v>113</v>
      </c>
      <c r="H408" s="11" t="s">
        <v>2</v>
      </c>
      <c r="I408">
        <v>2</v>
      </c>
      <c r="J408">
        <v>3</v>
      </c>
      <c r="K408">
        <v>4</v>
      </c>
      <c r="L408">
        <v>6</v>
      </c>
      <c r="M408">
        <v>8</v>
      </c>
      <c r="N408">
        <v>8</v>
      </c>
      <c r="O408">
        <v>4</v>
      </c>
      <c r="P408">
        <v>11</v>
      </c>
      <c r="Q408">
        <v>10</v>
      </c>
      <c r="R408">
        <v>5</v>
      </c>
      <c r="S408">
        <v>3</v>
      </c>
      <c r="T408">
        <v>0</v>
      </c>
      <c r="U408">
        <v>1</v>
      </c>
      <c r="V408">
        <v>0</v>
      </c>
      <c r="W408">
        <v>3</v>
      </c>
      <c r="X408">
        <v>3</v>
      </c>
      <c r="Y408" s="15">
        <v>7.422535211267606</v>
      </c>
      <c r="Z408">
        <v>150</v>
      </c>
      <c r="AA408">
        <v>71</v>
      </c>
      <c r="AB408" s="25">
        <v>9.5833333333333339</v>
      </c>
      <c r="AC408" s="25">
        <v>12.75</v>
      </c>
      <c r="AD408" s="25">
        <v>3.1666666666666661</v>
      </c>
      <c r="AE408">
        <f>[1]!Table3[[#This Row],[total_Flies]]/[1]!Table3[[#This Row],[flies_in]]</f>
        <v>0.47333333333333333</v>
      </c>
    </row>
    <row r="409" spans="1:31" x14ac:dyDescent="0.35">
      <c r="A409">
        <v>23</v>
      </c>
      <c r="B409" s="16" t="s">
        <v>117</v>
      </c>
      <c r="D409" s="2" t="s">
        <v>104</v>
      </c>
      <c r="E409" t="s">
        <v>3</v>
      </c>
      <c r="F409">
        <v>2</v>
      </c>
      <c r="G409" t="s">
        <v>1</v>
      </c>
      <c r="H409" s="11" t="s">
        <v>2</v>
      </c>
      <c r="I409">
        <v>12</v>
      </c>
      <c r="J409">
        <v>11</v>
      </c>
      <c r="K409">
        <v>0</v>
      </c>
      <c r="L409">
        <v>12</v>
      </c>
      <c r="M409">
        <v>1</v>
      </c>
      <c r="N409">
        <v>1</v>
      </c>
      <c r="O409">
        <v>6</v>
      </c>
      <c r="P409">
        <v>4</v>
      </c>
      <c r="Q409">
        <v>10</v>
      </c>
      <c r="R409">
        <v>9</v>
      </c>
      <c r="S409">
        <v>7</v>
      </c>
      <c r="T409">
        <v>7</v>
      </c>
      <c r="U409">
        <v>2</v>
      </c>
      <c r="V409">
        <v>0</v>
      </c>
      <c r="W409">
        <v>0</v>
      </c>
      <c r="X409">
        <v>1</v>
      </c>
      <c r="Y409" s="15">
        <v>6.6265060240963853</v>
      </c>
      <c r="Z409">
        <v>150</v>
      </c>
      <c r="AA409">
        <v>83</v>
      </c>
      <c r="AB409" s="25">
        <v>9.5833333333333339</v>
      </c>
      <c r="AC409" s="25">
        <v>12.683333333333334</v>
      </c>
      <c r="AD409" s="25">
        <v>3.0999999999999996</v>
      </c>
      <c r="AE409">
        <f>[1]!Table3[[#This Row],[total_Flies]]/[1]!Table3[[#This Row],[flies_in]]</f>
        <v>0.55333333333333334</v>
      </c>
    </row>
    <row r="410" spans="1:31" x14ac:dyDescent="0.35">
      <c r="A410">
        <v>23</v>
      </c>
      <c r="B410" s="16" t="s">
        <v>117</v>
      </c>
      <c r="D410" s="2" t="s">
        <v>104</v>
      </c>
      <c r="E410" t="s">
        <v>3</v>
      </c>
      <c r="F410">
        <v>2</v>
      </c>
      <c r="G410" t="s">
        <v>114</v>
      </c>
      <c r="H410" s="11" t="s">
        <v>0</v>
      </c>
      <c r="I410">
        <v>7</v>
      </c>
      <c r="J410">
        <v>14</v>
      </c>
      <c r="K410">
        <v>9</v>
      </c>
      <c r="L410">
        <v>11</v>
      </c>
      <c r="M410">
        <v>15</v>
      </c>
      <c r="N410">
        <v>8</v>
      </c>
      <c r="O410">
        <v>5</v>
      </c>
      <c r="P410">
        <v>2</v>
      </c>
      <c r="Q410">
        <v>3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 s="15">
        <v>4.24</v>
      </c>
      <c r="Z410">
        <v>100</v>
      </c>
      <c r="AA410">
        <v>75</v>
      </c>
      <c r="AB410" s="25">
        <v>9.5833333333333339</v>
      </c>
      <c r="AC410" s="25">
        <v>12.583333333333334</v>
      </c>
      <c r="AD410" s="25">
        <v>3</v>
      </c>
      <c r="AE410">
        <f>[1]!Table3[[#This Row],[total_Flies]]/[1]!Table3[[#This Row],[flies_in]]</f>
        <v>0.75</v>
      </c>
    </row>
    <row r="411" spans="1:31" x14ac:dyDescent="0.35">
      <c r="A411">
        <v>23</v>
      </c>
      <c r="B411" s="16" t="s">
        <v>118</v>
      </c>
      <c r="D411" s="2" t="s">
        <v>106</v>
      </c>
      <c r="E411" t="s">
        <v>3</v>
      </c>
      <c r="F411">
        <v>1</v>
      </c>
      <c r="G411" t="s">
        <v>112</v>
      </c>
      <c r="H411" s="11" t="s">
        <v>0</v>
      </c>
      <c r="I411">
        <v>6</v>
      </c>
      <c r="J411">
        <v>7</v>
      </c>
      <c r="K411">
        <v>11</v>
      </c>
      <c r="L411">
        <v>7</v>
      </c>
      <c r="M411">
        <v>9</v>
      </c>
      <c r="N411">
        <v>5</v>
      </c>
      <c r="O411">
        <v>0</v>
      </c>
      <c r="P411">
        <v>2</v>
      </c>
      <c r="Q411">
        <v>5</v>
      </c>
      <c r="R411">
        <v>0</v>
      </c>
      <c r="S411">
        <v>6</v>
      </c>
      <c r="T411">
        <v>3</v>
      </c>
      <c r="U411">
        <v>6</v>
      </c>
      <c r="V411">
        <v>3</v>
      </c>
      <c r="W411">
        <v>19</v>
      </c>
      <c r="X411">
        <v>1</v>
      </c>
      <c r="Y411" s="15">
        <v>8.2222222222222214</v>
      </c>
      <c r="Z411">
        <v>75</v>
      </c>
      <c r="AA411">
        <v>90</v>
      </c>
      <c r="AB411" s="25">
        <v>13.25</v>
      </c>
      <c r="AC411" s="25">
        <v>16.75</v>
      </c>
      <c r="AD411" s="25">
        <v>3.5</v>
      </c>
      <c r="AE411">
        <f>[1]!Table3[[#This Row],[total_Flies]]/[1]!Table3[[#This Row],[flies_in]]</f>
        <v>1.2</v>
      </c>
    </row>
    <row r="412" spans="1:31" x14ac:dyDescent="0.35">
      <c r="A412">
        <v>23</v>
      </c>
      <c r="B412" s="16" t="s">
        <v>118</v>
      </c>
      <c r="D412" s="2" t="s">
        <v>106</v>
      </c>
      <c r="E412" t="s">
        <v>3</v>
      </c>
      <c r="F412">
        <v>1</v>
      </c>
      <c r="G412" t="s">
        <v>113</v>
      </c>
      <c r="H412" s="11" t="s">
        <v>2</v>
      </c>
      <c r="I412">
        <v>1</v>
      </c>
      <c r="J412">
        <v>2</v>
      </c>
      <c r="K412">
        <v>2</v>
      </c>
      <c r="L412">
        <v>2</v>
      </c>
      <c r="M412">
        <v>5</v>
      </c>
      <c r="N412">
        <v>8</v>
      </c>
      <c r="O412">
        <v>3</v>
      </c>
      <c r="P412">
        <v>4</v>
      </c>
      <c r="Q412">
        <v>15</v>
      </c>
      <c r="R412">
        <v>18</v>
      </c>
      <c r="S412">
        <v>7</v>
      </c>
      <c r="T412">
        <v>3</v>
      </c>
      <c r="U412">
        <v>9</v>
      </c>
      <c r="V412">
        <v>10</v>
      </c>
      <c r="W412">
        <v>9</v>
      </c>
      <c r="X412">
        <v>5</v>
      </c>
      <c r="Y412" s="15">
        <v>10.145631067961165</v>
      </c>
      <c r="Z412">
        <v>150</v>
      </c>
      <c r="AA412">
        <v>103</v>
      </c>
      <c r="AB412" s="25">
        <v>13.25</v>
      </c>
      <c r="AC412" s="25">
        <v>16.666666666666664</v>
      </c>
      <c r="AD412" s="25">
        <v>3.4166666666666643</v>
      </c>
      <c r="AE412">
        <f>[1]!Table3[[#This Row],[total_Flies]]/[1]!Table3[[#This Row],[flies_in]]</f>
        <v>0.68666666666666665</v>
      </c>
    </row>
    <row r="413" spans="1:31" x14ac:dyDescent="0.35">
      <c r="A413">
        <v>23</v>
      </c>
      <c r="B413" s="16" t="s">
        <v>118</v>
      </c>
      <c r="D413" s="2" t="s">
        <v>106</v>
      </c>
      <c r="E413" t="s">
        <v>3</v>
      </c>
      <c r="F413">
        <v>1</v>
      </c>
      <c r="G413" t="s">
        <v>1</v>
      </c>
      <c r="H413" s="11" t="s">
        <v>2</v>
      </c>
      <c r="I413">
        <v>36</v>
      </c>
      <c r="J413">
        <v>28</v>
      </c>
      <c r="K413">
        <v>22</v>
      </c>
      <c r="L413">
        <v>3</v>
      </c>
      <c r="M413">
        <v>2</v>
      </c>
      <c r="N413">
        <v>8</v>
      </c>
      <c r="O413">
        <v>1</v>
      </c>
      <c r="P413">
        <v>6</v>
      </c>
      <c r="Q413">
        <v>4</v>
      </c>
      <c r="R413">
        <v>2</v>
      </c>
      <c r="S413">
        <v>8</v>
      </c>
      <c r="T413">
        <v>2</v>
      </c>
      <c r="U413">
        <v>0</v>
      </c>
      <c r="V413">
        <v>0</v>
      </c>
      <c r="W413">
        <v>1</v>
      </c>
      <c r="X413">
        <v>0</v>
      </c>
      <c r="Y413" s="15">
        <v>3.7886178861788617</v>
      </c>
      <c r="Z413">
        <v>150</v>
      </c>
      <c r="AA413">
        <v>123</v>
      </c>
      <c r="AB413" s="25">
        <v>13.25</v>
      </c>
      <c r="AC413" s="25">
        <v>16.583333333333332</v>
      </c>
      <c r="AD413" s="25">
        <v>3.3333333333333321</v>
      </c>
      <c r="AE413">
        <f>[1]!Table3[[#This Row],[total_Flies]]/[1]!Table3[[#This Row],[flies_in]]</f>
        <v>0.82</v>
      </c>
    </row>
    <row r="414" spans="1:31" x14ac:dyDescent="0.35">
      <c r="A414">
        <v>23</v>
      </c>
      <c r="B414" s="16" t="s">
        <v>118</v>
      </c>
      <c r="D414" s="2" t="s">
        <v>106</v>
      </c>
      <c r="E414" t="s">
        <v>3</v>
      </c>
      <c r="F414">
        <v>1</v>
      </c>
      <c r="G414" t="s">
        <v>114</v>
      </c>
      <c r="H414" s="11" t="s">
        <v>0</v>
      </c>
      <c r="I414">
        <v>15</v>
      </c>
      <c r="J414">
        <v>17</v>
      </c>
      <c r="K414">
        <v>7</v>
      </c>
      <c r="L414">
        <v>14</v>
      </c>
      <c r="M414">
        <v>9</v>
      </c>
      <c r="N414">
        <v>11</v>
      </c>
      <c r="O414">
        <v>1</v>
      </c>
      <c r="P414">
        <v>4</v>
      </c>
      <c r="Q414">
        <v>2</v>
      </c>
      <c r="R414">
        <v>0</v>
      </c>
      <c r="S414">
        <v>3</v>
      </c>
      <c r="T414">
        <v>1</v>
      </c>
      <c r="U414">
        <v>0</v>
      </c>
      <c r="V414">
        <v>0</v>
      </c>
      <c r="W414">
        <v>0</v>
      </c>
      <c r="X414">
        <v>0</v>
      </c>
      <c r="Y414" s="15">
        <v>4.0357142857142856</v>
      </c>
      <c r="Z414">
        <v>100</v>
      </c>
      <c r="AA414">
        <v>84</v>
      </c>
      <c r="AB414" s="25">
        <v>13.25</v>
      </c>
      <c r="AC414" s="25">
        <v>16.483333333333334</v>
      </c>
      <c r="AD414" s="25">
        <v>3.2333333333333343</v>
      </c>
      <c r="AE414">
        <f>[1]!Table3[[#This Row],[total_Flies]]/[1]!Table3[[#This Row],[flies_in]]</f>
        <v>0.84</v>
      </c>
    </row>
    <row r="415" spans="1:31" x14ac:dyDescent="0.35">
      <c r="A415">
        <v>23</v>
      </c>
      <c r="B415" s="16" t="s">
        <v>117</v>
      </c>
      <c r="D415" s="2" t="s">
        <v>104</v>
      </c>
      <c r="E415" t="s">
        <v>3</v>
      </c>
      <c r="F415">
        <v>4</v>
      </c>
      <c r="G415" t="s">
        <v>112</v>
      </c>
      <c r="H415" s="11" t="s">
        <v>0</v>
      </c>
      <c r="I415">
        <v>8</v>
      </c>
      <c r="J415">
        <v>4</v>
      </c>
      <c r="K415">
        <v>6</v>
      </c>
      <c r="L415">
        <v>4</v>
      </c>
      <c r="M415">
        <v>12</v>
      </c>
      <c r="N415">
        <v>3</v>
      </c>
      <c r="O415">
        <v>0</v>
      </c>
      <c r="P415">
        <v>0</v>
      </c>
      <c r="Q415">
        <v>0</v>
      </c>
      <c r="R415">
        <v>2</v>
      </c>
      <c r="S415">
        <v>1</v>
      </c>
      <c r="T415">
        <v>2</v>
      </c>
      <c r="U415">
        <v>0</v>
      </c>
      <c r="V415">
        <v>1</v>
      </c>
      <c r="W415">
        <v>5</v>
      </c>
      <c r="X415">
        <v>2</v>
      </c>
      <c r="Y415" s="15">
        <v>6.08</v>
      </c>
      <c r="Z415">
        <v>125</v>
      </c>
      <c r="AA415">
        <v>50</v>
      </c>
      <c r="AB415" s="25">
        <v>9.1333333333333329</v>
      </c>
      <c r="AC415" s="25">
        <v>12.833333333333332</v>
      </c>
      <c r="AD415" s="25">
        <v>3.6999999999999993</v>
      </c>
      <c r="AE415">
        <f>[1]!Table3[[#This Row],[total_Flies]]/[1]!Table3[[#This Row],[flies_in]]</f>
        <v>0.4</v>
      </c>
    </row>
    <row r="416" spans="1:31" x14ac:dyDescent="0.35">
      <c r="A416">
        <v>23</v>
      </c>
      <c r="B416" s="16" t="s">
        <v>117</v>
      </c>
      <c r="D416" s="2" t="s">
        <v>104</v>
      </c>
      <c r="E416" t="s">
        <v>3</v>
      </c>
      <c r="F416">
        <v>4</v>
      </c>
      <c r="G416" t="s">
        <v>113</v>
      </c>
      <c r="H416" s="11" t="s">
        <v>2</v>
      </c>
      <c r="I416">
        <v>3</v>
      </c>
      <c r="J416">
        <v>5</v>
      </c>
      <c r="K416">
        <v>3</v>
      </c>
      <c r="L416">
        <v>0</v>
      </c>
      <c r="M416">
        <v>2</v>
      </c>
      <c r="N416">
        <v>2</v>
      </c>
      <c r="O416">
        <v>4</v>
      </c>
      <c r="P416">
        <v>8</v>
      </c>
      <c r="Q416">
        <v>3</v>
      </c>
      <c r="R416">
        <v>3</v>
      </c>
      <c r="S416">
        <v>5</v>
      </c>
      <c r="T416">
        <v>2</v>
      </c>
      <c r="U416">
        <v>4</v>
      </c>
      <c r="V416">
        <v>0</v>
      </c>
      <c r="W416">
        <v>1</v>
      </c>
      <c r="X416">
        <v>1</v>
      </c>
      <c r="Y416" s="15">
        <v>7.7173913043478262</v>
      </c>
      <c r="Z416">
        <v>150</v>
      </c>
      <c r="AA416">
        <v>46</v>
      </c>
      <c r="AB416" s="25">
        <v>9.1333333333333329</v>
      </c>
      <c r="AC416" s="25">
        <v>12.733333333333334</v>
      </c>
      <c r="AD416" s="25">
        <v>3.6000000000000014</v>
      </c>
      <c r="AE416">
        <f>[1]!Table3[[#This Row],[total_Flies]]/[1]!Table3[[#This Row],[flies_in]]</f>
        <v>0.30666666666666664</v>
      </c>
    </row>
    <row r="417" spans="1:31" x14ac:dyDescent="0.35">
      <c r="A417">
        <v>23</v>
      </c>
      <c r="B417" s="16" t="s">
        <v>117</v>
      </c>
      <c r="D417" s="2" t="s">
        <v>104</v>
      </c>
      <c r="E417" t="s">
        <v>3</v>
      </c>
      <c r="F417">
        <v>4</v>
      </c>
      <c r="G417" t="s">
        <v>1</v>
      </c>
      <c r="H417" s="11" t="s">
        <v>2</v>
      </c>
      <c r="I417">
        <v>9</v>
      </c>
      <c r="J417">
        <v>11</v>
      </c>
      <c r="K417">
        <v>20</v>
      </c>
      <c r="L417">
        <v>0</v>
      </c>
      <c r="M417">
        <v>5</v>
      </c>
      <c r="N417">
        <v>1</v>
      </c>
      <c r="O417">
        <v>1</v>
      </c>
      <c r="P417">
        <v>2</v>
      </c>
      <c r="Q417">
        <v>3</v>
      </c>
      <c r="R417">
        <v>4</v>
      </c>
      <c r="S417">
        <v>3</v>
      </c>
      <c r="T417">
        <v>0</v>
      </c>
      <c r="U417">
        <v>1</v>
      </c>
      <c r="V417">
        <v>0</v>
      </c>
      <c r="W417">
        <v>0</v>
      </c>
      <c r="X417">
        <v>0</v>
      </c>
      <c r="Y417" s="15">
        <v>4.3</v>
      </c>
      <c r="Z417">
        <v>150</v>
      </c>
      <c r="AA417">
        <v>60</v>
      </c>
      <c r="AB417" s="25">
        <v>9.1333333333333329</v>
      </c>
      <c r="AC417" s="25">
        <v>12.566666666666666</v>
      </c>
      <c r="AD417" s="25">
        <v>3.4333333333333336</v>
      </c>
      <c r="AE417">
        <f>[1]!Table3[[#This Row],[total_Flies]]/[1]!Table3[[#This Row],[flies_in]]</f>
        <v>0.4</v>
      </c>
    </row>
    <row r="418" spans="1:31" x14ac:dyDescent="0.35">
      <c r="A418">
        <v>23</v>
      </c>
      <c r="B418" s="16" t="s">
        <v>117</v>
      </c>
      <c r="D418" s="2" t="s">
        <v>104</v>
      </c>
      <c r="E418" t="s">
        <v>3</v>
      </c>
      <c r="F418">
        <v>4</v>
      </c>
      <c r="G418" t="s">
        <v>114</v>
      </c>
      <c r="H418" s="11" t="s">
        <v>0</v>
      </c>
      <c r="I418">
        <v>14</v>
      </c>
      <c r="J418">
        <v>17</v>
      </c>
      <c r="K418">
        <v>10</v>
      </c>
      <c r="L418">
        <v>6</v>
      </c>
      <c r="M418">
        <v>7</v>
      </c>
      <c r="N418">
        <v>10</v>
      </c>
      <c r="O418">
        <v>2</v>
      </c>
      <c r="P418">
        <v>3</v>
      </c>
      <c r="Q418">
        <v>3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 s="15">
        <v>3.7808219178082192</v>
      </c>
      <c r="Z418">
        <v>125</v>
      </c>
      <c r="AA418">
        <v>73</v>
      </c>
      <c r="AB418" s="25">
        <v>9.1333333333333329</v>
      </c>
      <c r="AC418" s="25">
        <v>12.433333333333334</v>
      </c>
      <c r="AD418" s="25">
        <v>3.3000000000000007</v>
      </c>
      <c r="AE418">
        <f>[1]!Table3[[#This Row],[total_Flies]]/[1]!Table3[[#This Row],[flies_in]]</f>
        <v>0.58399999999999996</v>
      </c>
    </row>
    <row r="419" spans="1:31" x14ac:dyDescent="0.35">
      <c r="A419">
        <v>23</v>
      </c>
      <c r="B419" s="16" t="s">
        <v>118</v>
      </c>
      <c r="D419" s="2" t="s">
        <v>106</v>
      </c>
      <c r="E419" t="s">
        <v>3</v>
      </c>
      <c r="F419">
        <v>3</v>
      </c>
      <c r="G419" t="s">
        <v>112</v>
      </c>
      <c r="H419" s="11" t="s">
        <v>0</v>
      </c>
      <c r="I419">
        <v>11</v>
      </c>
      <c r="J419">
        <v>11</v>
      </c>
      <c r="K419">
        <v>10</v>
      </c>
      <c r="L419">
        <v>3</v>
      </c>
      <c r="M419">
        <v>12</v>
      </c>
      <c r="N419">
        <v>3</v>
      </c>
      <c r="O419">
        <v>1</v>
      </c>
      <c r="P419">
        <v>0</v>
      </c>
      <c r="Q419">
        <v>0</v>
      </c>
      <c r="R419">
        <v>4</v>
      </c>
      <c r="S419">
        <v>3</v>
      </c>
      <c r="T419">
        <v>0</v>
      </c>
      <c r="U419">
        <v>2</v>
      </c>
      <c r="V419">
        <v>5</v>
      </c>
      <c r="W419">
        <v>7</v>
      </c>
      <c r="X419">
        <v>0</v>
      </c>
      <c r="Y419" s="15">
        <v>6.0277777777777777</v>
      </c>
      <c r="Z419">
        <v>100</v>
      </c>
      <c r="AA419">
        <v>72</v>
      </c>
      <c r="AB419" s="25">
        <v>13.75</v>
      </c>
      <c r="AC419" s="25">
        <v>16.75</v>
      </c>
      <c r="AD419" s="25">
        <v>3</v>
      </c>
      <c r="AE419">
        <f>[1]!Table3[[#This Row],[total_Flies]]/[1]!Table3[[#This Row],[flies_in]]</f>
        <v>0.72</v>
      </c>
    </row>
    <row r="420" spans="1:31" x14ac:dyDescent="0.35">
      <c r="A420">
        <v>23</v>
      </c>
      <c r="B420" s="16" t="s">
        <v>118</v>
      </c>
      <c r="D420" s="2" t="s">
        <v>106</v>
      </c>
      <c r="E420" t="s">
        <v>3</v>
      </c>
      <c r="F420">
        <v>3</v>
      </c>
      <c r="G420" t="s">
        <v>113</v>
      </c>
      <c r="H420" s="11" t="s">
        <v>2</v>
      </c>
      <c r="I420">
        <v>5</v>
      </c>
      <c r="J420">
        <v>0</v>
      </c>
      <c r="K420">
        <v>11</v>
      </c>
      <c r="L420">
        <v>2</v>
      </c>
      <c r="M420">
        <v>2</v>
      </c>
      <c r="N420">
        <v>20</v>
      </c>
      <c r="O420">
        <v>20</v>
      </c>
      <c r="P420">
        <v>3</v>
      </c>
      <c r="Q420">
        <v>6</v>
      </c>
      <c r="R420">
        <v>3</v>
      </c>
      <c r="S420">
        <v>1</v>
      </c>
      <c r="T420">
        <v>2</v>
      </c>
      <c r="U420">
        <v>0</v>
      </c>
      <c r="V420">
        <v>2</v>
      </c>
      <c r="W420">
        <v>1</v>
      </c>
      <c r="X420">
        <v>1</v>
      </c>
      <c r="Y420" s="15">
        <v>6.556962025316456</v>
      </c>
      <c r="Z420">
        <v>125</v>
      </c>
      <c r="AA420">
        <v>79</v>
      </c>
      <c r="AB420" s="25">
        <v>13.75</v>
      </c>
      <c r="AC420" s="25">
        <v>16.649999999999999</v>
      </c>
      <c r="AD420" s="25">
        <v>2.8999999999999986</v>
      </c>
      <c r="AE420">
        <f>[1]!Table3[[#This Row],[total_Flies]]/[1]!Table3[[#This Row],[flies_in]]</f>
        <v>0.63200000000000001</v>
      </c>
    </row>
    <row r="421" spans="1:31" x14ac:dyDescent="0.35">
      <c r="A421">
        <v>23</v>
      </c>
      <c r="B421" s="16" t="s">
        <v>118</v>
      </c>
      <c r="D421" s="2" t="s">
        <v>106</v>
      </c>
      <c r="E421" t="s">
        <v>3</v>
      </c>
      <c r="F421">
        <v>3</v>
      </c>
      <c r="G421" t="s">
        <v>1</v>
      </c>
      <c r="H421" s="11" t="s">
        <v>2</v>
      </c>
      <c r="I421">
        <v>24</v>
      </c>
      <c r="J421">
        <v>25</v>
      </c>
      <c r="K421">
        <v>20</v>
      </c>
      <c r="L421">
        <v>0</v>
      </c>
      <c r="M421">
        <v>3</v>
      </c>
      <c r="N421">
        <v>6</v>
      </c>
      <c r="O421">
        <v>1</v>
      </c>
      <c r="P421">
        <v>2</v>
      </c>
      <c r="Q421">
        <v>7</v>
      </c>
      <c r="R421">
        <v>2</v>
      </c>
      <c r="S421">
        <v>3</v>
      </c>
      <c r="T421">
        <v>1</v>
      </c>
      <c r="U421">
        <v>0</v>
      </c>
      <c r="V421">
        <v>0</v>
      </c>
      <c r="W421">
        <v>0</v>
      </c>
      <c r="X421">
        <v>0</v>
      </c>
      <c r="Y421" s="15">
        <v>3.5744680851063828</v>
      </c>
      <c r="Z421">
        <v>125</v>
      </c>
      <c r="AA421">
        <v>94</v>
      </c>
      <c r="AB421" s="25">
        <v>13.75</v>
      </c>
      <c r="AC421" s="25">
        <v>16.55</v>
      </c>
      <c r="AD421" s="25">
        <v>2.8000000000000007</v>
      </c>
      <c r="AE421">
        <f>[1]!Table3[[#This Row],[total_Flies]]/[1]!Table3[[#This Row],[flies_in]]</f>
        <v>0.752</v>
      </c>
    </row>
    <row r="422" spans="1:31" x14ac:dyDescent="0.35">
      <c r="A422">
        <v>23</v>
      </c>
      <c r="B422" s="16" t="s">
        <v>118</v>
      </c>
      <c r="D422" s="2" t="s">
        <v>106</v>
      </c>
      <c r="E422" t="s">
        <v>3</v>
      </c>
      <c r="F422">
        <v>3</v>
      </c>
      <c r="G422" t="s">
        <v>114</v>
      </c>
      <c r="H422" s="11" t="s">
        <v>0</v>
      </c>
      <c r="I422">
        <v>24</v>
      </c>
      <c r="J422">
        <v>23</v>
      </c>
      <c r="K422">
        <v>8</v>
      </c>
      <c r="L422">
        <v>8</v>
      </c>
      <c r="M422">
        <v>12</v>
      </c>
      <c r="N422">
        <v>7</v>
      </c>
      <c r="O422">
        <v>3</v>
      </c>
      <c r="P422">
        <v>4</v>
      </c>
      <c r="Q422">
        <v>1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 s="15">
        <v>3.3186813186813189</v>
      </c>
      <c r="Z422">
        <v>100</v>
      </c>
      <c r="AA422">
        <v>91</v>
      </c>
      <c r="AB422" s="25">
        <v>13.75</v>
      </c>
      <c r="AC422" s="25">
        <v>16.483333333333334</v>
      </c>
      <c r="AD422" s="25">
        <v>2.7333333333333343</v>
      </c>
      <c r="AE422">
        <f>[1]!Table3[[#This Row],[total_Flies]]/[1]!Table3[[#This Row],[flies_in]]</f>
        <v>0.91</v>
      </c>
    </row>
    <row r="423" spans="1:31" x14ac:dyDescent="0.35">
      <c r="D423" s="2"/>
      <c r="AC423" s="25"/>
      <c r="AD423" s="25"/>
    </row>
    <row r="424" spans="1:31" x14ac:dyDescent="0.35">
      <c r="D424" s="2"/>
      <c r="AC424" s="25"/>
      <c r="AD424" s="25"/>
    </row>
    <row r="425" spans="1:31" x14ac:dyDescent="0.35">
      <c r="D425" s="2"/>
      <c r="AC425" s="25"/>
      <c r="AD425" s="25"/>
    </row>
    <row r="426" spans="1:31" x14ac:dyDescent="0.35">
      <c r="D426" s="2"/>
      <c r="AC426" s="25"/>
      <c r="AD426" s="25"/>
    </row>
    <row r="427" spans="1:31" x14ac:dyDescent="0.35">
      <c r="D427" s="2"/>
      <c r="AC427" s="25"/>
      <c r="AD427" s="25"/>
    </row>
    <row r="428" spans="1:31" x14ac:dyDescent="0.35">
      <c r="D428" s="2"/>
      <c r="AC428" s="25"/>
      <c r="AD428" s="25"/>
    </row>
    <row r="429" spans="1:31" x14ac:dyDescent="0.35">
      <c r="D429" s="2"/>
      <c r="AC429" s="25"/>
      <c r="AD429" s="25"/>
    </row>
    <row r="430" spans="1:31" x14ac:dyDescent="0.35">
      <c r="D430" s="2"/>
      <c r="AC430" s="25"/>
      <c r="AD430" s="25"/>
    </row>
    <row r="431" spans="1:31" x14ac:dyDescent="0.35">
      <c r="D431" s="2"/>
      <c r="AC431" s="25"/>
      <c r="AD431" s="25"/>
    </row>
    <row r="432" spans="1:31" x14ac:dyDescent="0.35">
      <c r="D432" s="2"/>
      <c r="AC432" s="25"/>
      <c r="AD432" s="25"/>
    </row>
    <row r="433" spans="4:30" x14ac:dyDescent="0.35">
      <c r="D433" s="2"/>
      <c r="AC433" s="25"/>
      <c r="AD433" s="25"/>
    </row>
    <row r="434" spans="4:30" x14ac:dyDescent="0.35">
      <c r="D434" s="2"/>
      <c r="AC434" s="25"/>
      <c r="AD434" s="25"/>
    </row>
    <row r="435" spans="4:30" x14ac:dyDescent="0.35">
      <c r="D435" s="2"/>
      <c r="AC435" s="25"/>
      <c r="AD435" s="25"/>
    </row>
    <row r="436" spans="4:30" x14ac:dyDescent="0.35">
      <c r="D436" s="2"/>
      <c r="AC436" s="25"/>
      <c r="AD436" s="25"/>
    </row>
    <row r="437" spans="4:30" x14ac:dyDescent="0.35">
      <c r="D437" s="2"/>
      <c r="AC437" s="25"/>
      <c r="AD437" s="25"/>
    </row>
    <row r="438" spans="4:30" x14ac:dyDescent="0.35">
      <c r="D438" s="2"/>
      <c r="AC438" s="25"/>
      <c r="AD438" s="25"/>
    </row>
    <row r="439" spans="4:30" x14ac:dyDescent="0.35">
      <c r="D439" s="2"/>
      <c r="AC439" s="25"/>
      <c r="AD439" s="25"/>
    </row>
    <row r="440" spans="4:30" x14ac:dyDescent="0.35">
      <c r="D440" s="2"/>
      <c r="AC440" s="25"/>
      <c r="AD440" s="25"/>
    </row>
    <row r="441" spans="4:30" x14ac:dyDescent="0.35">
      <c r="D441" s="2"/>
      <c r="AC441" s="25"/>
      <c r="AD441" s="25"/>
    </row>
    <row r="442" spans="4:30" x14ac:dyDescent="0.35">
      <c r="D442" s="2"/>
      <c r="AC442" s="25"/>
      <c r="AD442" s="25"/>
    </row>
    <row r="443" spans="4:30" x14ac:dyDescent="0.35">
      <c r="D443" s="2"/>
      <c r="AC443" s="25"/>
      <c r="AD443" s="25"/>
    </row>
    <row r="444" spans="4:30" x14ac:dyDescent="0.35">
      <c r="D444" s="2"/>
      <c r="AC444" s="25"/>
      <c r="AD444" s="25"/>
    </row>
    <row r="445" spans="4:30" x14ac:dyDescent="0.35">
      <c r="D445" s="2"/>
      <c r="AC445" s="25"/>
      <c r="AD445" s="25"/>
    </row>
    <row r="446" spans="4:30" x14ac:dyDescent="0.35">
      <c r="D446" s="2"/>
      <c r="AC446" s="25"/>
      <c r="AD446" s="25"/>
    </row>
    <row r="447" spans="4:30" x14ac:dyDescent="0.35">
      <c r="D447" s="2"/>
      <c r="AC447" s="25"/>
      <c r="AD447" s="25"/>
    </row>
    <row r="448" spans="4:30" x14ac:dyDescent="0.35">
      <c r="D448" s="2"/>
      <c r="AC448" s="25"/>
      <c r="AD448" s="25"/>
    </row>
    <row r="449" spans="4:30" x14ac:dyDescent="0.35">
      <c r="D449" s="2"/>
      <c r="AC449" s="25"/>
      <c r="AD449" s="25"/>
    </row>
    <row r="450" spans="4:30" x14ac:dyDescent="0.35">
      <c r="D450" s="2"/>
      <c r="AC450" s="25"/>
      <c r="AD450" s="25"/>
    </row>
    <row r="451" spans="4:30" x14ac:dyDescent="0.35">
      <c r="D451" s="2"/>
      <c r="AC451" s="25"/>
      <c r="AD451" s="25"/>
    </row>
    <row r="452" spans="4:30" x14ac:dyDescent="0.35">
      <c r="D452" s="2"/>
      <c r="AC452" s="25"/>
      <c r="AD452" s="25"/>
    </row>
    <row r="453" spans="4:30" x14ac:dyDescent="0.35">
      <c r="D453" s="2"/>
      <c r="AC453" s="25"/>
      <c r="AD453" s="25"/>
    </row>
    <row r="454" spans="4:30" x14ac:dyDescent="0.35">
      <c r="D454" s="2"/>
      <c r="AC454" s="25"/>
      <c r="AD454" s="25"/>
    </row>
    <row r="455" spans="4:30" x14ac:dyDescent="0.35">
      <c r="D455" s="2"/>
      <c r="AC455" s="25"/>
      <c r="AD455" s="25"/>
    </row>
    <row r="456" spans="4:30" x14ac:dyDescent="0.35">
      <c r="D456" s="2"/>
      <c r="AC456" s="25"/>
      <c r="AD456" s="25"/>
    </row>
  </sheetData>
  <phoneticPr fontId="4" type="noConversion"/>
  <conditionalFormatting sqref="A1:A406 A423:A1048576">
    <cfRule type="expression" dxfId="47" priority="11">
      <formula>ISODD($A1)</formula>
    </cfRule>
    <cfRule type="expression" dxfId="46" priority="12">
      <formula>ISEVEN($A1)</formula>
    </cfRule>
  </conditionalFormatting>
  <conditionalFormatting sqref="B1:B1048576">
    <cfRule type="expression" dxfId="45" priority="27">
      <formula>ISODD($A1)</formula>
    </cfRule>
    <cfRule type="expression" dxfId="44" priority="28">
      <formula>ISEVEN($A1)</formula>
    </cfRule>
  </conditionalFormatting>
  <conditionalFormatting sqref="C1:C1048576">
    <cfRule type="expression" dxfId="43" priority="9">
      <formula>ISODD($A1)</formula>
    </cfRule>
    <cfRule type="expression" dxfId="42" priority="10">
      <formula>ISEVEN($A1)</formula>
    </cfRule>
  </conditionalFormatting>
  <conditionalFormatting sqref="D1:D1048576">
    <cfRule type="expression" dxfId="41" priority="7">
      <formula>ISODD($A1)</formula>
    </cfRule>
    <cfRule type="expression" dxfId="40" priority="8">
      <formula>ISEVEN($A1)</formula>
    </cfRule>
  </conditionalFormatting>
  <conditionalFormatting sqref="E1:F273 E274:E285 E407:F1048576">
    <cfRule type="expression" dxfId="39" priority="61">
      <formula>ISODD($A1)</formula>
    </cfRule>
    <cfRule type="expression" dxfId="38" priority="62">
      <formula>ISEVEN($A1)</formula>
    </cfRule>
  </conditionalFormatting>
  <conditionalFormatting sqref="E286:F376">
    <cfRule type="expression" dxfId="37" priority="21">
      <formula>ISODD($A286)</formula>
    </cfRule>
    <cfRule type="expression" dxfId="36" priority="22">
      <formula>ISEVEN($A286)</formula>
    </cfRule>
  </conditionalFormatting>
  <conditionalFormatting sqref="E377:H406">
    <cfRule type="expression" dxfId="35" priority="5">
      <formula>ISODD($A377)</formula>
    </cfRule>
    <cfRule type="expression" dxfId="34" priority="6">
      <formula>ISEVEN($A377)</formula>
    </cfRule>
  </conditionalFormatting>
  <conditionalFormatting sqref="F274:F285">
    <cfRule type="expression" dxfId="33" priority="57">
      <formula>ISODD($A274)</formula>
    </cfRule>
    <cfRule type="expression" dxfId="32" priority="58">
      <formula>ISEVEN($A274)</formula>
    </cfRule>
  </conditionalFormatting>
  <conditionalFormatting sqref="G1:G347 G407:G1048576">
    <cfRule type="expression" dxfId="31" priority="35">
      <formula>ISODD($A1)</formula>
    </cfRule>
    <cfRule type="expression" dxfId="30" priority="36">
      <formula>ISEVEN($A1)</formula>
    </cfRule>
  </conditionalFormatting>
  <conditionalFormatting sqref="G348:H376">
    <cfRule type="expression" dxfId="29" priority="17">
      <formula>ISODD($A348)</formula>
    </cfRule>
    <cfRule type="expression" dxfId="28" priority="18">
      <formula>ISEVEN($A348)</formula>
    </cfRule>
  </conditionalFormatting>
  <conditionalFormatting sqref="H1:H347 H407:H1048576">
    <cfRule type="expression" dxfId="27" priority="65">
      <formula>ISODD($A1)</formula>
    </cfRule>
    <cfRule type="expression" dxfId="26" priority="66">
      <formula>ISEVEN($A1)</formula>
    </cfRule>
  </conditionalFormatting>
  <conditionalFormatting sqref="I348:X376">
    <cfRule type="expression" dxfId="25" priority="13">
      <formula>ISODD($A348)</formula>
    </cfRule>
    <cfRule type="expression" dxfId="24" priority="14">
      <formula>ISEVEN($A348)</formula>
    </cfRule>
  </conditionalFormatting>
  <conditionalFormatting sqref="I1:AA347 Y348:AA376 I377:AA1048576">
    <cfRule type="expression" dxfId="23" priority="51">
      <formula>ISODD($A1)</formula>
    </cfRule>
    <cfRule type="expression" dxfId="22" priority="52">
      <formula>ISEVEN($A1)</formula>
    </cfRule>
  </conditionalFormatting>
  <conditionalFormatting sqref="AA1:AA1048576">
    <cfRule type="cellIs" dxfId="21" priority="49" operator="between">
      <formula>1</formula>
      <formula>24</formula>
    </cfRule>
    <cfRule type="cellIs" dxfId="20" priority="50" operator="between">
      <formula>24</formula>
      <formula>240</formula>
    </cfRule>
  </conditionalFormatting>
  <conditionalFormatting sqref="AB1:AD1048576">
    <cfRule type="expression" dxfId="19" priority="43">
      <formula>ISODD($A1)</formula>
    </cfRule>
    <cfRule type="expression" dxfId="18" priority="44">
      <formula>ISEVEN($A1)</formula>
    </cfRule>
  </conditionalFormatting>
  <conditionalFormatting sqref="AE1:AE406 AE423:AE1048576">
    <cfRule type="expression" dxfId="17" priority="41">
      <formula>ISODD($A1)</formula>
    </cfRule>
    <cfRule type="expression" dxfId="16" priority="42">
      <formula>ISEVEN($A1)</formula>
    </cfRule>
  </conditionalFormatting>
  <conditionalFormatting sqref="AF1:XFD206">
    <cfRule type="expression" dxfId="15" priority="81">
      <formula>ISODD($A1)</formula>
    </cfRule>
    <cfRule type="expression" dxfId="14" priority="83">
      <formula>ISEVEN($A1)</formula>
    </cfRule>
  </conditionalFormatting>
  <conditionalFormatting sqref="AF207:XFD1048576">
    <cfRule type="expression" dxfId="13" priority="95">
      <formula>ISODD(#REF!)</formula>
    </cfRule>
    <cfRule type="expression" dxfId="12" priority="96">
      <formula>ISEVEN(#REF!)</formula>
    </cfRule>
  </conditionalFormatting>
  <conditionalFormatting sqref="A407:A422">
    <cfRule type="expression" dxfId="9" priority="3">
      <formula>ISODD($A407)</formula>
    </cfRule>
    <cfRule type="expression" dxfId="8" priority="4">
      <formula>ISEVEN($A407)</formula>
    </cfRule>
  </conditionalFormatting>
  <conditionalFormatting sqref="AE407:AE422">
    <cfRule type="expression" dxfId="3" priority="1">
      <formula>ISODD($A407)</formula>
    </cfRule>
    <cfRule type="expression" dxfId="2" priority="2">
      <formula>ISEVEN($A407)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DF20-E3BB-4C21-961D-DD96EDB8DD0E}">
  <dimension ref="A1:V439"/>
  <sheetViews>
    <sheetView workbookViewId="0">
      <pane ySplit="1" topLeftCell="A117" activePane="bottomLeft" state="frozen"/>
      <selection pane="bottomLeft" activeCell="D123" sqref="D123"/>
    </sheetView>
  </sheetViews>
  <sheetFormatPr defaultRowHeight="14.5" x14ac:dyDescent="0.35"/>
  <cols>
    <col min="1" max="1" width="13.26953125" customWidth="1"/>
    <col min="2" max="2" width="17.81640625" customWidth="1"/>
    <col min="3" max="3" width="3.81640625" bestFit="1" customWidth="1"/>
    <col min="21" max="21" width="19.54296875" bestFit="1" customWidth="1"/>
  </cols>
  <sheetData>
    <row r="1" spans="1:22" s="1" customFormat="1" ht="15" thickBot="1" x14ac:dyDescent="0.4">
      <c r="A1" s="1" t="s">
        <v>101</v>
      </c>
      <c r="B1" s="1" t="s">
        <v>100</v>
      </c>
      <c r="C1" s="1" t="s">
        <v>6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U1" s="1" t="s">
        <v>5</v>
      </c>
      <c r="V1" s="1" t="s">
        <v>4</v>
      </c>
    </row>
    <row r="2" spans="1:22" ht="15" thickTop="1" x14ac:dyDescent="0.35">
      <c r="A2" t="s">
        <v>33</v>
      </c>
      <c r="B2" t="s">
        <v>29</v>
      </c>
      <c r="C2" t="s">
        <v>0</v>
      </c>
      <c r="D2">
        <v>1</v>
      </c>
      <c r="E2">
        <v>0</v>
      </c>
      <c r="F2">
        <v>0</v>
      </c>
      <c r="G2">
        <v>0</v>
      </c>
      <c r="H2">
        <v>2</v>
      </c>
      <c r="I2">
        <v>2</v>
      </c>
      <c r="J2">
        <v>2</v>
      </c>
      <c r="K2">
        <v>10</v>
      </c>
      <c r="L2">
        <v>4</v>
      </c>
      <c r="M2">
        <v>6</v>
      </c>
      <c r="N2">
        <v>5</v>
      </c>
      <c r="O2">
        <v>2</v>
      </c>
      <c r="P2">
        <v>6</v>
      </c>
      <c r="Q2">
        <v>3</v>
      </c>
      <c r="R2">
        <v>7</v>
      </c>
      <c r="S2">
        <v>4</v>
      </c>
      <c r="U2">
        <f>SUMPRODUCT(D1:S1, D2:S2) / SUM(D2:S2)</f>
        <v>10.75925925925926</v>
      </c>
      <c r="V2">
        <f>SUM(D2:S2)</f>
        <v>54</v>
      </c>
    </row>
    <row r="3" spans="1:22" x14ac:dyDescent="0.35">
      <c r="A3" t="s">
        <v>99</v>
      </c>
      <c r="B3" t="s">
        <v>28</v>
      </c>
      <c r="C3" t="s">
        <v>2</v>
      </c>
      <c r="D3">
        <v>1</v>
      </c>
      <c r="E3">
        <v>2</v>
      </c>
      <c r="F3">
        <v>1</v>
      </c>
      <c r="G3">
        <v>1</v>
      </c>
      <c r="H3">
        <v>2</v>
      </c>
      <c r="I3">
        <v>1</v>
      </c>
      <c r="J3">
        <v>6</v>
      </c>
      <c r="K3">
        <v>12</v>
      </c>
      <c r="L3">
        <v>10</v>
      </c>
      <c r="M3">
        <v>5</v>
      </c>
      <c r="N3">
        <v>7</v>
      </c>
      <c r="O3">
        <v>8</v>
      </c>
      <c r="P3">
        <v>3</v>
      </c>
      <c r="Q3">
        <v>1</v>
      </c>
      <c r="R3">
        <v>2</v>
      </c>
      <c r="S3">
        <v>1</v>
      </c>
      <c r="U3">
        <f>SUMPRODUCT(D1:S1, D3:S3) / SUM(D3:S3)</f>
        <v>9.174603174603174</v>
      </c>
      <c r="V3">
        <f>SUM(D3:S3)</f>
        <v>63</v>
      </c>
    </row>
    <row r="4" spans="1:22" x14ac:dyDescent="0.35">
      <c r="A4" t="s">
        <v>98</v>
      </c>
      <c r="B4" t="s">
        <v>27</v>
      </c>
      <c r="C4" t="s">
        <v>2</v>
      </c>
      <c r="D4">
        <v>0</v>
      </c>
      <c r="E4">
        <v>2</v>
      </c>
      <c r="F4">
        <v>0</v>
      </c>
      <c r="G4">
        <v>1</v>
      </c>
      <c r="H4">
        <v>1</v>
      </c>
      <c r="I4">
        <v>0</v>
      </c>
      <c r="J4">
        <v>1</v>
      </c>
      <c r="K4">
        <v>4</v>
      </c>
      <c r="L4">
        <v>0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U4">
        <f>SUMPRODUCT(D1:S1, D4:S4) / SUM(D4:S4)</f>
        <v>6.7272727272727275</v>
      </c>
      <c r="V4">
        <f>SUM(D4:S4)</f>
        <v>11</v>
      </c>
    </row>
    <row r="5" spans="1:22" x14ac:dyDescent="0.35">
      <c r="B5" t="s">
        <v>26</v>
      </c>
      <c r="C5" t="s">
        <v>0</v>
      </c>
      <c r="D5">
        <v>2</v>
      </c>
      <c r="E5">
        <v>1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2</v>
      </c>
      <c r="M5">
        <v>1</v>
      </c>
      <c r="N5">
        <v>0</v>
      </c>
      <c r="O5">
        <v>2</v>
      </c>
      <c r="P5">
        <v>1</v>
      </c>
      <c r="Q5">
        <v>1</v>
      </c>
      <c r="R5">
        <v>1</v>
      </c>
      <c r="S5">
        <v>0</v>
      </c>
      <c r="U5">
        <f>SUMPRODUCT(D1:S1, D5:S5) / SUM(D5:S5)</f>
        <v>8</v>
      </c>
      <c r="V5">
        <f>SUM(D5:S5)</f>
        <v>13</v>
      </c>
    </row>
    <row r="6" spans="1:22" x14ac:dyDescent="0.35">
      <c r="B6" t="s">
        <v>85</v>
      </c>
    </row>
    <row r="8" spans="1:22" x14ac:dyDescent="0.35">
      <c r="A8" t="s">
        <v>32</v>
      </c>
      <c r="B8" t="s">
        <v>29</v>
      </c>
      <c r="C8" t="s">
        <v>0</v>
      </c>
      <c r="D8">
        <v>1</v>
      </c>
      <c r="E8">
        <v>1</v>
      </c>
      <c r="F8">
        <v>0</v>
      </c>
      <c r="G8">
        <v>0</v>
      </c>
      <c r="H8">
        <v>0</v>
      </c>
      <c r="I8">
        <v>6</v>
      </c>
      <c r="J8">
        <v>2</v>
      </c>
      <c r="K8">
        <v>11</v>
      </c>
      <c r="L8">
        <v>7</v>
      </c>
      <c r="M8">
        <v>15</v>
      </c>
      <c r="N8">
        <v>3</v>
      </c>
      <c r="O8">
        <v>6</v>
      </c>
      <c r="P8">
        <v>7</v>
      </c>
      <c r="Q8">
        <v>9</v>
      </c>
      <c r="R8">
        <v>5</v>
      </c>
      <c r="S8">
        <v>8</v>
      </c>
      <c r="U8">
        <f>SUMPRODUCT(D1:S1, D8:S8) / SUM(D8:S8)</f>
        <v>10.851851851851851</v>
      </c>
      <c r="V8">
        <f>SUM(D8:S8)</f>
        <v>81</v>
      </c>
    </row>
    <row r="9" spans="1:22" x14ac:dyDescent="0.35">
      <c r="A9" t="s">
        <v>97</v>
      </c>
      <c r="B9" t="s">
        <v>28</v>
      </c>
      <c r="C9" t="s">
        <v>2</v>
      </c>
      <c r="D9">
        <v>1</v>
      </c>
      <c r="E9">
        <v>3</v>
      </c>
      <c r="F9">
        <v>2</v>
      </c>
      <c r="G9">
        <v>1</v>
      </c>
      <c r="H9">
        <v>2</v>
      </c>
      <c r="I9">
        <v>2</v>
      </c>
      <c r="J9">
        <v>7</v>
      </c>
      <c r="K9">
        <v>7</v>
      </c>
      <c r="L9">
        <v>8</v>
      </c>
      <c r="M9">
        <v>9</v>
      </c>
      <c r="N9">
        <v>4</v>
      </c>
      <c r="O9">
        <v>13</v>
      </c>
      <c r="P9">
        <v>10</v>
      </c>
      <c r="Q9">
        <v>8</v>
      </c>
      <c r="R9">
        <v>1</v>
      </c>
      <c r="S9">
        <v>5</v>
      </c>
      <c r="U9">
        <f>SUMPRODUCT(D1:S1, D9:S9) / SUM(D9:S9)</f>
        <v>10.156626506024097</v>
      </c>
      <c r="V9">
        <f>SUM(D9:S9)</f>
        <v>83</v>
      </c>
    </row>
    <row r="10" spans="1:22" x14ac:dyDescent="0.35">
      <c r="A10" t="s">
        <v>96</v>
      </c>
      <c r="B10" t="s">
        <v>27</v>
      </c>
      <c r="C10" t="s">
        <v>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2</v>
      </c>
      <c r="L10">
        <v>1</v>
      </c>
      <c r="M10">
        <v>0</v>
      </c>
      <c r="N10">
        <v>6</v>
      </c>
      <c r="O10">
        <v>3</v>
      </c>
      <c r="P10">
        <v>0</v>
      </c>
      <c r="Q10">
        <v>1</v>
      </c>
      <c r="R10">
        <v>2</v>
      </c>
      <c r="S10">
        <v>1</v>
      </c>
      <c r="U10">
        <f>SUMPRODUCT(D1:S1, D10:S10) / SUM(D10:S10)</f>
        <v>11.411764705882353</v>
      </c>
      <c r="V10">
        <f>SUM(D10:S10)</f>
        <v>17</v>
      </c>
    </row>
    <row r="11" spans="1:22" x14ac:dyDescent="0.35">
      <c r="A11" t="s">
        <v>95</v>
      </c>
      <c r="B11" t="s">
        <v>26</v>
      </c>
      <c r="C11" t="s">
        <v>0</v>
      </c>
      <c r="D11">
        <v>0</v>
      </c>
      <c r="E11">
        <v>2</v>
      </c>
      <c r="F11">
        <v>0</v>
      </c>
      <c r="G11">
        <v>2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U11">
        <f>SUMPRODUCT(D1:S1, D11:S11) / SUM(D11:S11)</f>
        <v>5.333333333333333</v>
      </c>
      <c r="V11">
        <f>SUM(D11:S11)</f>
        <v>6</v>
      </c>
    </row>
    <row r="12" spans="1:22" x14ac:dyDescent="0.35">
      <c r="B12" t="s">
        <v>84</v>
      </c>
    </row>
    <row r="13" spans="1:22" s="3" customFormat="1" x14ac:dyDescent="0.35"/>
    <row r="14" spans="1:22" x14ac:dyDescent="0.35">
      <c r="A14" t="s">
        <v>31</v>
      </c>
      <c r="B14" t="s">
        <v>29</v>
      </c>
      <c r="C14" t="s">
        <v>2</v>
      </c>
      <c r="D14">
        <v>0</v>
      </c>
      <c r="E14">
        <v>1</v>
      </c>
      <c r="F14">
        <v>0</v>
      </c>
      <c r="G14">
        <v>0</v>
      </c>
      <c r="H14">
        <v>1</v>
      </c>
      <c r="I14">
        <v>1</v>
      </c>
      <c r="J14">
        <v>1</v>
      </c>
      <c r="K14">
        <v>4</v>
      </c>
      <c r="L14">
        <v>6</v>
      </c>
      <c r="M14">
        <v>6</v>
      </c>
      <c r="N14">
        <v>4</v>
      </c>
      <c r="O14">
        <v>0</v>
      </c>
      <c r="P14">
        <v>0</v>
      </c>
      <c r="Q14">
        <v>1</v>
      </c>
      <c r="R14">
        <v>1</v>
      </c>
      <c r="S14">
        <v>0</v>
      </c>
      <c r="U14">
        <f>SUMPRODUCT(D1:S1, D14:S14) / SUM(D14:S14)</f>
        <v>9.1923076923076916</v>
      </c>
      <c r="V14">
        <f>SUM(D14:S14)</f>
        <v>26</v>
      </c>
    </row>
    <row r="15" spans="1:22" x14ac:dyDescent="0.35">
      <c r="A15" t="s">
        <v>94</v>
      </c>
      <c r="B15" t="s">
        <v>28</v>
      </c>
      <c r="C15" t="s">
        <v>0</v>
      </c>
      <c r="D15">
        <v>1</v>
      </c>
      <c r="E15">
        <v>2</v>
      </c>
      <c r="F15">
        <v>0</v>
      </c>
      <c r="G15">
        <v>0</v>
      </c>
      <c r="H15">
        <v>3</v>
      </c>
      <c r="I15">
        <v>0</v>
      </c>
      <c r="J15">
        <v>6</v>
      </c>
      <c r="K15">
        <v>8</v>
      </c>
      <c r="L15">
        <v>3</v>
      </c>
      <c r="M15">
        <v>7</v>
      </c>
      <c r="N15">
        <v>5</v>
      </c>
      <c r="O15">
        <v>5</v>
      </c>
      <c r="P15">
        <v>9</v>
      </c>
      <c r="Q15">
        <v>7</v>
      </c>
      <c r="R15">
        <v>5</v>
      </c>
      <c r="S15">
        <v>2</v>
      </c>
      <c r="U15">
        <f>SUMPRODUCT(D1:S1, D15:S15) / SUM(D15:S15)</f>
        <v>10.476190476190476</v>
      </c>
      <c r="V15">
        <f>SUM(D15:S15)</f>
        <v>63</v>
      </c>
    </row>
    <row r="16" spans="1:22" x14ac:dyDescent="0.35">
      <c r="B16" t="s">
        <v>90</v>
      </c>
      <c r="C16" t="s">
        <v>2</v>
      </c>
      <c r="D16">
        <v>0</v>
      </c>
      <c r="E16">
        <v>4</v>
      </c>
      <c r="F16">
        <v>2</v>
      </c>
      <c r="G16">
        <v>0</v>
      </c>
      <c r="H16">
        <v>3</v>
      </c>
      <c r="I16">
        <v>4</v>
      </c>
      <c r="J16">
        <v>4</v>
      </c>
      <c r="K16">
        <v>11</v>
      </c>
      <c r="L16">
        <v>7</v>
      </c>
      <c r="M16">
        <v>7</v>
      </c>
      <c r="N16">
        <v>15</v>
      </c>
      <c r="O16">
        <v>10</v>
      </c>
      <c r="P16">
        <v>5</v>
      </c>
      <c r="Q16">
        <v>10</v>
      </c>
      <c r="R16">
        <v>2</v>
      </c>
      <c r="S16">
        <v>2</v>
      </c>
      <c r="U16">
        <f>SUMPRODUCT(D1:S1, D16:S16) / SUM(D16:S16)</f>
        <v>9.9302325581395348</v>
      </c>
      <c r="V16">
        <f>SUM(D16:S16)</f>
        <v>86</v>
      </c>
    </row>
    <row r="17" spans="1:22" x14ac:dyDescent="0.35">
      <c r="A17" t="s">
        <v>93</v>
      </c>
      <c r="B17" t="s">
        <v>88</v>
      </c>
      <c r="C17" t="s">
        <v>0</v>
      </c>
      <c r="D17">
        <v>4</v>
      </c>
      <c r="E17">
        <v>8</v>
      </c>
      <c r="F17">
        <v>8</v>
      </c>
      <c r="G17">
        <v>4</v>
      </c>
      <c r="H17">
        <v>4</v>
      </c>
      <c r="I17">
        <v>5</v>
      </c>
      <c r="J17">
        <v>6</v>
      </c>
      <c r="K17">
        <v>11</v>
      </c>
      <c r="L17">
        <v>9</v>
      </c>
      <c r="M17">
        <v>6</v>
      </c>
      <c r="N17">
        <v>10</v>
      </c>
      <c r="O17">
        <v>9</v>
      </c>
      <c r="P17">
        <v>3</v>
      </c>
      <c r="Q17">
        <v>1</v>
      </c>
      <c r="R17">
        <v>3</v>
      </c>
      <c r="S17">
        <v>2</v>
      </c>
      <c r="U17">
        <f>SUMPRODUCT(D1:S1, D17:S17) / SUM(D17:S17)</f>
        <v>7.838709677419355</v>
      </c>
      <c r="V17">
        <f>SUM(D17:S17)</f>
        <v>93</v>
      </c>
    </row>
    <row r="18" spans="1:22" x14ac:dyDescent="0.35">
      <c r="B18" t="s">
        <v>92</v>
      </c>
    </row>
    <row r="20" spans="1:22" x14ac:dyDescent="0.35">
      <c r="A20" t="s">
        <v>30</v>
      </c>
      <c r="B20" t="s">
        <v>29</v>
      </c>
      <c r="C20" t="s">
        <v>2</v>
      </c>
      <c r="D20">
        <v>0</v>
      </c>
      <c r="E20">
        <v>0</v>
      </c>
      <c r="F20">
        <v>0</v>
      </c>
      <c r="G20">
        <v>1</v>
      </c>
      <c r="H20">
        <v>5</v>
      </c>
      <c r="I20">
        <v>3</v>
      </c>
      <c r="J20">
        <v>10</v>
      </c>
      <c r="K20">
        <v>3</v>
      </c>
      <c r="L20">
        <v>6</v>
      </c>
      <c r="M20">
        <v>17</v>
      </c>
      <c r="N20">
        <v>15</v>
      </c>
      <c r="O20">
        <v>6</v>
      </c>
      <c r="P20">
        <v>6</v>
      </c>
      <c r="Q20">
        <v>3</v>
      </c>
      <c r="R20">
        <v>0</v>
      </c>
      <c r="S20">
        <v>2</v>
      </c>
      <c r="U20">
        <f>SUMPRODUCT(D1:S1, D20:S20) / SUM(D20:S20)</f>
        <v>9.7922077922077921</v>
      </c>
      <c r="V20">
        <f>SUM(D20:S20)</f>
        <v>77</v>
      </c>
    </row>
    <row r="21" spans="1:22" x14ac:dyDescent="0.35">
      <c r="A21" t="s">
        <v>91</v>
      </c>
      <c r="B21" t="s">
        <v>28</v>
      </c>
      <c r="C21" t="s">
        <v>0</v>
      </c>
      <c r="D21">
        <v>2</v>
      </c>
      <c r="E21">
        <v>0</v>
      </c>
      <c r="F21">
        <v>6</v>
      </c>
      <c r="G21">
        <v>5</v>
      </c>
      <c r="H21">
        <v>4</v>
      </c>
      <c r="I21">
        <v>1</v>
      </c>
      <c r="J21">
        <v>4</v>
      </c>
      <c r="K21">
        <v>6</v>
      </c>
      <c r="L21">
        <v>4</v>
      </c>
      <c r="M21">
        <v>1</v>
      </c>
      <c r="N21">
        <v>2</v>
      </c>
      <c r="O21">
        <v>3</v>
      </c>
      <c r="P21">
        <v>1</v>
      </c>
      <c r="Q21">
        <v>0</v>
      </c>
      <c r="R21">
        <v>1</v>
      </c>
      <c r="S21">
        <v>0</v>
      </c>
      <c r="U21">
        <f>SUMPRODUCT(D1:S1, D21:S21) / SUM(D21:S21)</f>
        <v>6.85</v>
      </c>
      <c r="V21">
        <f>SUM(D21:S21)</f>
        <v>40</v>
      </c>
    </row>
    <row r="22" spans="1:22" x14ac:dyDescent="0.35">
      <c r="B22" t="s">
        <v>90</v>
      </c>
      <c r="C22" t="s">
        <v>2</v>
      </c>
      <c r="D22">
        <v>0</v>
      </c>
      <c r="E22">
        <v>0</v>
      </c>
      <c r="F22">
        <v>1</v>
      </c>
      <c r="G22">
        <v>0</v>
      </c>
      <c r="H22">
        <v>3</v>
      </c>
      <c r="I22">
        <v>3</v>
      </c>
      <c r="J22">
        <v>8</v>
      </c>
      <c r="K22">
        <v>4</v>
      </c>
      <c r="L22">
        <v>1</v>
      </c>
      <c r="M22">
        <v>8</v>
      </c>
      <c r="N22">
        <v>7</v>
      </c>
      <c r="O22">
        <v>10</v>
      </c>
      <c r="P22">
        <v>9</v>
      </c>
      <c r="Q22">
        <v>6</v>
      </c>
      <c r="R22">
        <v>0</v>
      </c>
      <c r="S22">
        <v>1</v>
      </c>
      <c r="U22">
        <f>SUMPRODUCT(D1:S1, D22:S22) / SUM(D22:S22)</f>
        <v>10.278688524590164</v>
      </c>
      <c r="V22">
        <f>SUM(D22:S22)</f>
        <v>61</v>
      </c>
    </row>
    <row r="23" spans="1:22" x14ac:dyDescent="0.35">
      <c r="A23" t="s">
        <v>89</v>
      </c>
      <c r="B23" t="s">
        <v>88</v>
      </c>
      <c r="C23" t="s">
        <v>0</v>
      </c>
      <c r="D23">
        <v>0</v>
      </c>
      <c r="E23">
        <v>0</v>
      </c>
      <c r="F23">
        <v>3</v>
      </c>
      <c r="G23">
        <v>1</v>
      </c>
      <c r="H23">
        <v>3</v>
      </c>
      <c r="I23">
        <v>6</v>
      </c>
      <c r="J23">
        <v>3</v>
      </c>
      <c r="K23">
        <v>8</v>
      </c>
      <c r="L23">
        <v>5</v>
      </c>
      <c r="M23">
        <v>0</v>
      </c>
      <c r="N23">
        <v>2</v>
      </c>
      <c r="O23">
        <v>5</v>
      </c>
      <c r="P23">
        <v>2</v>
      </c>
      <c r="Q23">
        <v>3</v>
      </c>
      <c r="R23">
        <v>0</v>
      </c>
      <c r="S23">
        <v>1</v>
      </c>
      <c r="U23">
        <f>SUMPRODUCT(D1:S1, D23:S23) / SUM(D23:S23)</f>
        <v>8.5714285714285712</v>
      </c>
      <c r="V23">
        <f>SUM(D23:S23)</f>
        <v>42</v>
      </c>
    </row>
    <row r="24" spans="1:22" x14ac:dyDescent="0.35">
      <c r="B24" t="s">
        <v>87</v>
      </c>
    </row>
    <row r="26" spans="1:22" x14ac:dyDescent="0.35">
      <c r="A26" t="s">
        <v>46</v>
      </c>
      <c r="B26" t="s">
        <v>29</v>
      </c>
      <c r="C26" t="s">
        <v>2</v>
      </c>
      <c r="D26">
        <v>1</v>
      </c>
      <c r="E26">
        <v>1</v>
      </c>
      <c r="F26">
        <v>3</v>
      </c>
      <c r="G26">
        <v>1</v>
      </c>
      <c r="H26">
        <v>2</v>
      </c>
      <c r="I26">
        <v>0</v>
      </c>
      <c r="J26">
        <v>7</v>
      </c>
      <c r="K26">
        <v>3</v>
      </c>
      <c r="L26">
        <v>1</v>
      </c>
      <c r="M26">
        <v>2</v>
      </c>
      <c r="N26">
        <v>1</v>
      </c>
      <c r="O26">
        <v>6</v>
      </c>
      <c r="P26">
        <v>3</v>
      </c>
      <c r="Q26">
        <v>0</v>
      </c>
      <c r="R26">
        <v>1</v>
      </c>
      <c r="S26">
        <v>2</v>
      </c>
      <c r="U26">
        <f>SUMPRODUCT(D1:S1, D26:S26) / SUM(D26:S26)</f>
        <v>8.735294117647058</v>
      </c>
      <c r="V26">
        <f>SUM(D26:S26)</f>
        <v>34</v>
      </c>
    </row>
    <row r="27" spans="1:22" x14ac:dyDescent="0.35">
      <c r="A27" t="s">
        <v>86</v>
      </c>
      <c r="B27" t="s">
        <v>28</v>
      </c>
      <c r="C27" t="s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2</v>
      </c>
      <c r="J27">
        <v>2</v>
      </c>
      <c r="K27">
        <v>4</v>
      </c>
      <c r="L27">
        <v>3</v>
      </c>
      <c r="M27">
        <v>4</v>
      </c>
      <c r="N27">
        <v>3</v>
      </c>
      <c r="O27">
        <v>3</v>
      </c>
      <c r="P27">
        <v>3</v>
      </c>
      <c r="Q27">
        <v>1</v>
      </c>
      <c r="R27">
        <v>0</v>
      </c>
      <c r="S27">
        <v>1</v>
      </c>
      <c r="U27">
        <f>SUMPRODUCT(D1:S1, D27:S27) / SUM(D27:S27)</f>
        <v>9.9259259259259256</v>
      </c>
      <c r="V27">
        <f>SUM(D27:S27)</f>
        <v>27</v>
      </c>
    </row>
    <row r="28" spans="1:22" x14ac:dyDescent="0.35">
      <c r="B28" t="s">
        <v>85</v>
      </c>
    </row>
    <row r="29" spans="1:22" x14ac:dyDescent="0.35">
      <c r="B29" t="s">
        <v>84</v>
      </c>
    </row>
    <row r="30" spans="1:22" s="3" customFormat="1" x14ac:dyDescent="0.35"/>
    <row r="31" spans="1:22" x14ac:dyDescent="0.35">
      <c r="A31" t="s">
        <v>83</v>
      </c>
      <c r="B31" t="s">
        <v>29</v>
      </c>
      <c r="C31" t="s">
        <v>2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2</v>
      </c>
      <c r="K31">
        <v>6</v>
      </c>
      <c r="L31">
        <v>4</v>
      </c>
      <c r="M31">
        <v>14</v>
      </c>
      <c r="N31">
        <v>6</v>
      </c>
      <c r="O31">
        <v>5</v>
      </c>
      <c r="P31">
        <v>2</v>
      </c>
      <c r="Q31">
        <v>4</v>
      </c>
      <c r="R31">
        <v>1</v>
      </c>
      <c r="S31">
        <v>2</v>
      </c>
      <c r="U31">
        <f>SUMPRODUCT(D1:S1, D31:S31) / SUM(D31:S31)</f>
        <v>10.5</v>
      </c>
      <c r="V31">
        <f>SUM(D31:S31)</f>
        <v>48</v>
      </c>
    </row>
    <row r="32" spans="1:22" x14ac:dyDescent="0.35">
      <c r="A32" t="s">
        <v>82</v>
      </c>
      <c r="B32" t="s">
        <v>28</v>
      </c>
      <c r="C32" t="s">
        <v>0</v>
      </c>
      <c r="D32">
        <v>4</v>
      </c>
      <c r="E32">
        <v>3</v>
      </c>
      <c r="F32">
        <v>0</v>
      </c>
      <c r="G32">
        <v>0</v>
      </c>
      <c r="H32">
        <v>2</v>
      </c>
      <c r="I32">
        <v>2</v>
      </c>
      <c r="J32">
        <v>4</v>
      </c>
      <c r="K32">
        <v>3</v>
      </c>
      <c r="L32">
        <v>0</v>
      </c>
      <c r="M32">
        <v>5</v>
      </c>
      <c r="N32">
        <v>3</v>
      </c>
      <c r="O32">
        <v>9</v>
      </c>
      <c r="P32">
        <v>5</v>
      </c>
      <c r="Q32">
        <v>4</v>
      </c>
      <c r="R32">
        <v>2</v>
      </c>
      <c r="S32">
        <v>3</v>
      </c>
      <c r="U32">
        <f>SUMPRODUCT(D1:S1, D32:S32) / SUM(D32:S32)</f>
        <v>9.6734693877551017</v>
      </c>
      <c r="V32">
        <f>SUM(D32:S32)</f>
        <v>49</v>
      </c>
    </row>
    <row r="33" spans="1:22" x14ac:dyDescent="0.35">
      <c r="B33" t="s">
        <v>81</v>
      </c>
    </row>
    <row r="36" spans="1:22" x14ac:dyDescent="0.35">
      <c r="A36" t="s">
        <v>80</v>
      </c>
      <c r="B36" t="s">
        <v>29</v>
      </c>
      <c r="C36" t="s">
        <v>2</v>
      </c>
      <c r="D36">
        <v>0</v>
      </c>
      <c r="E36">
        <v>1</v>
      </c>
      <c r="F36">
        <v>0</v>
      </c>
      <c r="G36">
        <v>2</v>
      </c>
      <c r="H36">
        <v>1</v>
      </c>
      <c r="I36">
        <v>1</v>
      </c>
      <c r="J36">
        <v>6</v>
      </c>
      <c r="K36">
        <v>10</v>
      </c>
      <c r="L36">
        <v>8</v>
      </c>
      <c r="M36">
        <v>6</v>
      </c>
      <c r="N36">
        <v>10</v>
      </c>
      <c r="O36">
        <v>9</v>
      </c>
      <c r="P36">
        <v>7</v>
      </c>
      <c r="Q36">
        <v>2</v>
      </c>
      <c r="R36">
        <v>5</v>
      </c>
      <c r="S36">
        <v>0</v>
      </c>
      <c r="U36">
        <f>SUMPRODUCT(D1:S1, D36:S36) / SUM(D36:S36)</f>
        <v>10.102941176470589</v>
      </c>
      <c r="V36">
        <f>SUM(D36:S36)</f>
        <v>68</v>
      </c>
    </row>
    <row r="37" spans="1:22" x14ac:dyDescent="0.35">
      <c r="A37" t="s">
        <v>79</v>
      </c>
      <c r="B37" t="s">
        <v>28</v>
      </c>
      <c r="C37" t="s">
        <v>0</v>
      </c>
      <c r="D37">
        <v>9</v>
      </c>
      <c r="E37">
        <v>9</v>
      </c>
      <c r="F37">
        <v>3</v>
      </c>
      <c r="G37">
        <v>0</v>
      </c>
      <c r="H37">
        <v>1</v>
      </c>
      <c r="I37">
        <v>2</v>
      </c>
      <c r="J37">
        <v>1</v>
      </c>
      <c r="K37">
        <v>1</v>
      </c>
      <c r="L37">
        <v>2</v>
      </c>
      <c r="M37">
        <v>3</v>
      </c>
      <c r="N37">
        <v>2</v>
      </c>
      <c r="O37">
        <v>2</v>
      </c>
      <c r="P37">
        <v>0</v>
      </c>
      <c r="Q37">
        <v>2</v>
      </c>
      <c r="R37">
        <v>6</v>
      </c>
      <c r="S37">
        <v>1</v>
      </c>
      <c r="U37">
        <f>SUMPRODUCT(D1:S1, D37:S37) / SUM(D37:S37)</f>
        <v>6.7272727272727275</v>
      </c>
      <c r="V37">
        <f>SUM(D37:S37)</f>
        <v>44</v>
      </c>
    </row>
    <row r="38" spans="1:22" x14ac:dyDescent="0.35">
      <c r="B38" t="s">
        <v>78</v>
      </c>
    </row>
    <row r="41" spans="1:22" x14ac:dyDescent="0.35">
      <c r="A41" t="s">
        <v>77</v>
      </c>
      <c r="B41" t="s">
        <v>29</v>
      </c>
      <c r="C41" t="s">
        <v>2</v>
      </c>
      <c r="D41">
        <v>0</v>
      </c>
      <c r="E41">
        <v>0</v>
      </c>
      <c r="F41">
        <v>0</v>
      </c>
      <c r="G41">
        <v>0</v>
      </c>
      <c r="H41">
        <v>3</v>
      </c>
      <c r="I41">
        <v>2</v>
      </c>
      <c r="J41">
        <v>4</v>
      </c>
      <c r="K41">
        <v>7</v>
      </c>
      <c r="L41">
        <v>2</v>
      </c>
      <c r="M41">
        <v>4</v>
      </c>
      <c r="N41">
        <v>9</v>
      </c>
      <c r="O41">
        <v>8</v>
      </c>
      <c r="P41">
        <v>6</v>
      </c>
      <c r="Q41">
        <v>4</v>
      </c>
      <c r="R41">
        <v>8</v>
      </c>
      <c r="S41">
        <v>2</v>
      </c>
      <c r="U41">
        <f>SUMPRODUCT(D1:S1, D41:S41) / SUM(D41:S41)</f>
        <v>11.016949152542374</v>
      </c>
      <c r="V41">
        <f>SUM(D41:S41)</f>
        <v>59</v>
      </c>
    </row>
    <row r="42" spans="1:22" x14ac:dyDescent="0.35">
      <c r="A42" t="s">
        <v>76</v>
      </c>
      <c r="B42" t="s">
        <v>28</v>
      </c>
      <c r="C42" t="s">
        <v>0</v>
      </c>
      <c r="D42">
        <v>9</v>
      </c>
      <c r="E42">
        <v>5</v>
      </c>
      <c r="F42">
        <v>4</v>
      </c>
      <c r="G42">
        <v>1</v>
      </c>
      <c r="H42">
        <v>3</v>
      </c>
      <c r="I42">
        <v>2</v>
      </c>
      <c r="J42">
        <v>1</v>
      </c>
      <c r="K42">
        <v>3</v>
      </c>
      <c r="L42">
        <v>2</v>
      </c>
      <c r="M42">
        <v>3</v>
      </c>
      <c r="N42">
        <v>0</v>
      </c>
      <c r="O42">
        <v>0</v>
      </c>
      <c r="P42">
        <v>1</v>
      </c>
      <c r="Q42">
        <v>5</v>
      </c>
      <c r="R42">
        <v>3</v>
      </c>
      <c r="S42">
        <v>3</v>
      </c>
      <c r="U42">
        <f>SUMPRODUCT(D1:S1, D42:S42) / SUM(D42:S42)</f>
        <v>7.0444444444444443</v>
      </c>
      <c r="V42">
        <f>SUM(D42:S42)</f>
        <v>45</v>
      </c>
    </row>
    <row r="43" spans="1:22" x14ac:dyDescent="0.35">
      <c r="B43" t="s">
        <v>75</v>
      </c>
    </row>
    <row r="45" spans="1:22" x14ac:dyDescent="0.35">
      <c r="A45" t="s">
        <v>74</v>
      </c>
      <c r="B45" t="s">
        <v>29</v>
      </c>
      <c r="C45" t="s">
        <v>2</v>
      </c>
      <c r="D45">
        <v>0</v>
      </c>
      <c r="E45">
        <v>1</v>
      </c>
      <c r="F45">
        <v>0</v>
      </c>
      <c r="G45">
        <v>0</v>
      </c>
      <c r="H45">
        <v>2</v>
      </c>
      <c r="I45">
        <v>6</v>
      </c>
      <c r="J45">
        <v>4</v>
      </c>
      <c r="K45">
        <v>5</v>
      </c>
      <c r="L45">
        <v>3</v>
      </c>
      <c r="M45">
        <v>8</v>
      </c>
      <c r="N45">
        <v>9</v>
      </c>
      <c r="O45">
        <v>6</v>
      </c>
      <c r="P45">
        <v>10</v>
      </c>
      <c r="Q45">
        <v>5</v>
      </c>
      <c r="R45">
        <v>6</v>
      </c>
      <c r="S45">
        <v>1</v>
      </c>
      <c r="U45">
        <f>SUMPRODUCT(D1:S1, D45:S45) / SUM(D45:S45)</f>
        <v>10.606060606060606</v>
      </c>
      <c r="V45">
        <f>SUM(D45:S45)</f>
        <v>66</v>
      </c>
    </row>
    <row r="46" spans="1:22" x14ac:dyDescent="0.35">
      <c r="A46" t="s">
        <v>73</v>
      </c>
      <c r="B46" t="s">
        <v>28</v>
      </c>
      <c r="C46" t="s">
        <v>0</v>
      </c>
      <c r="D46">
        <v>14</v>
      </c>
      <c r="E46">
        <v>13</v>
      </c>
      <c r="F46">
        <v>4</v>
      </c>
      <c r="G46">
        <v>1</v>
      </c>
      <c r="H46">
        <v>2</v>
      </c>
      <c r="I46">
        <v>2</v>
      </c>
      <c r="J46">
        <v>4</v>
      </c>
      <c r="K46">
        <v>4</v>
      </c>
      <c r="L46">
        <v>3</v>
      </c>
      <c r="M46">
        <v>4</v>
      </c>
      <c r="N46">
        <v>1</v>
      </c>
      <c r="O46">
        <v>3</v>
      </c>
      <c r="P46">
        <v>6</v>
      </c>
      <c r="Q46">
        <v>7</v>
      </c>
      <c r="R46">
        <v>6</v>
      </c>
      <c r="S46">
        <v>8</v>
      </c>
      <c r="T46" t="s">
        <v>69</v>
      </c>
      <c r="U46">
        <f>SUMPRODUCT(D1:S1, D46:S46) / SUM(D46:S46)</f>
        <v>7.8780487804878048</v>
      </c>
      <c r="V46">
        <f>SUM(D46:S46)</f>
        <v>82</v>
      </c>
    </row>
    <row r="47" spans="1:22" x14ac:dyDescent="0.35">
      <c r="B47" t="s">
        <v>72</v>
      </c>
    </row>
    <row r="48" spans="1:22" s="9" customFormat="1" ht="15" thickBot="1" x14ac:dyDescent="0.4"/>
    <row r="49" spans="1:22" s="7" customFormat="1" ht="15.5" thickTop="1" thickBot="1" x14ac:dyDescent="0.4">
      <c r="A49" s="8" t="s">
        <v>71</v>
      </c>
      <c r="B49" s="8" t="s">
        <v>34</v>
      </c>
      <c r="C49" s="8" t="s">
        <v>6</v>
      </c>
      <c r="D49" s="8">
        <v>1</v>
      </c>
      <c r="E49" s="8">
        <v>2</v>
      </c>
      <c r="F49" s="8">
        <v>3</v>
      </c>
      <c r="G49" s="8">
        <v>4</v>
      </c>
      <c r="H49" s="8">
        <v>5</v>
      </c>
      <c r="I49" s="8">
        <v>6</v>
      </c>
      <c r="J49" s="8">
        <v>7</v>
      </c>
      <c r="K49" s="8">
        <v>8</v>
      </c>
      <c r="L49" s="8">
        <v>9</v>
      </c>
      <c r="M49" s="8">
        <v>10</v>
      </c>
      <c r="N49" s="8">
        <v>11</v>
      </c>
      <c r="O49" s="8">
        <v>12</v>
      </c>
      <c r="P49" s="8">
        <v>13</v>
      </c>
      <c r="Q49" s="8">
        <v>14</v>
      </c>
      <c r="R49" s="8">
        <v>15</v>
      </c>
      <c r="S49" s="8">
        <v>16</v>
      </c>
    </row>
    <row r="50" spans="1:22" ht="15" thickTop="1" x14ac:dyDescent="0.35">
      <c r="A50" s="6" t="s">
        <v>33</v>
      </c>
      <c r="B50" s="6" t="s">
        <v>54</v>
      </c>
    </row>
    <row r="51" spans="1:22" x14ac:dyDescent="0.35">
      <c r="A51" t="s">
        <v>70</v>
      </c>
      <c r="B51" t="s">
        <v>29</v>
      </c>
      <c r="C51" t="s">
        <v>0</v>
      </c>
      <c r="D51">
        <v>0</v>
      </c>
      <c r="E51">
        <v>0</v>
      </c>
      <c r="F51">
        <v>1</v>
      </c>
      <c r="G51">
        <v>2</v>
      </c>
      <c r="H51">
        <v>2</v>
      </c>
      <c r="I51">
        <v>2</v>
      </c>
      <c r="J51">
        <v>2</v>
      </c>
      <c r="K51">
        <v>4</v>
      </c>
      <c r="L51">
        <v>9</v>
      </c>
      <c r="M51">
        <v>10</v>
      </c>
      <c r="N51">
        <v>10</v>
      </c>
      <c r="O51">
        <v>7</v>
      </c>
      <c r="P51">
        <v>4</v>
      </c>
      <c r="Q51">
        <v>2</v>
      </c>
      <c r="R51">
        <v>14</v>
      </c>
      <c r="S51">
        <v>3</v>
      </c>
      <c r="U51">
        <f>SUMPRODUCT(D49:S49, D51:S51) / SUM(D51:S51)</f>
        <v>11</v>
      </c>
      <c r="V51">
        <f>SUM(D51:S51)</f>
        <v>72</v>
      </c>
    </row>
    <row r="52" spans="1:22" x14ac:dyDescent="0.35">
      <c r="B52" t="s">
        <v>28</v>
      </c>
      <c r="C52" t="s">
        <v>2</v>
      </c>
      <c r="D52">
        <v>0</v>
      </c>
      <c r="E52">
        <v>3</v>
      </c>
      <c r="F52">
        <v>2</v>
      </c>
      <c r="G52">
        <v>2</v>
      </c>
      <c r="H52">
        <v>3</v>
      </c>
      <c r="I52">
        <v>3</v>
      </c>
      <c r="J52">
        <v>12</v>
      </c>
      <c r="K52">
        <v>11</v>
      </c>
      <c r="L52">
        <v>10</v>
      </c>
      <c r="M52">
        <v>9</v>
      </c>
      <c r="N52">
        <v>9</v>
      </c>
      <c r="O52">
        <v>4</v>
      </c>
      <c r="P52">
        <v>7</v>
      </c>
      <c r="Q52">
        <v>5</v>
      </c>
      <c r="R52">
        <v>6</v>
      </c>
      <c r="S52">
        <v>2</v>
      </c>
      <c r="U52">
        <f>SUMPRODUCT(D49:S49, D52:S52) / SUM(D52:S52)</f>
        <v>9.4886363636363633</v>
      </c>
      <c r="V52">
        <f>SUM(D52:S52)</f>
        <v>88</v>
      </c>
    </row>
    <row r="53" spans="1:22" x14ac:dyDescent="0.35">
      <c r="B53" t="s">
        <v>27</v>
      </c>
      <c r="C53" t="s">
        <v>2</v>
      </c>
      <c r="D53">
        <v>1</v>
      </c>
      <c r="E53">
        <v>6</v>
      </c>
      <c r="F53">
        <v>5</v>
      </c>
      <c r="G53">
        <v>2</v>
      </c>
      <c r="H53">
        <v>3</v>
      </c>
      <c r="I53">
        <v>4</v>
      </c>
      <c r="J53">
        <v>3</v>
      </c>
      <c r="K53">
        <v>3</v>
      </c>
      <c r="L53">
        <v>3</v>
      </c>
      <c r="M53">
        <v>3</v>
      </c>
      <c r="N53">
        <v>2</v>
      </c>
      <c r="O53">
        <v>1</v>
      </c>
      <c r="P53">
        <v>1</v>
      </c>
      <c r="Q53">
        <v>0</v>
      </c>
      <c r="R53">
        <v>1</v>
      </c>
      <c r="S53">
        <v>5</v>
      </c>
      <c r="U53">
        <f>SUMPRODUCT(D49:S49, D53:S53) / SUM(D53:S53)</f>
        <v>7.4186046511627906</v>
      </c>
      <c r="V53">
        <f>SUM(D53:S53)</f>
        <v>43</v>
      </c>
    </row>
    <row r="54" spans="1:22" x14ac:dyDescent="0.35">
      <c r="B54" t="s">
        <v>26</v>
      </c>
      <c r="C54" t="s">
        <v>0</v>
      </c>
      <c r="D54">
        <v>0</v>
      </c>
      <c r="E54">
        <v>3</v>
      </c>
      <c r="F54">
        <v>6</v>
      </c>
      <c r="G54">
        <v>5</v>
      </c>
      <c r="H54">
        <v>10</v>
      </c>
      <c r="I54">
        <v>7</v>
      </c>
      <c r="J54">
        <v>11</v>
      </c>
      <c r="K54">
        <v>10</v>
      </c>
      <c r="L54">
        <v>6</v>
      </c>
      <c r="M54">
        <v>3</v>
      </c>
      <c r="N54">
        <v>9</v>
      </c>
      <c r="O54">
        <v>9</v>
      </c>
      <c r="P54">
        <v>2</v>
      </c>
      <c r="Q54">
        <v>3</v>
      </c>
      <c r="R54">
        <v>0</v>
      </c>
      <c r="S54">
        <v>0</v>
      </c>
      <c r="U54">
        <f>SUMPRODUCT(D49:S49, D54:S54) / SUM(D54:S54)</f>
        <v>7.7619047619047619</v>
      </c>
      <c r="V54">
        <f>SUM(D54:S54)</f>
        <v>84</v>
      </c>
    </row>
    <row r="56" spans="1:22" x14ac:dyDescent="0.35">
      <c r="A56" s="6" t="s">
        <v>32</v>
      </c>
      <c r="B56" s="6" t="s">
        <v>55</v>
      </c>
      <c r="S56" t="s">
        <v>69</v>
      </c>
    </row>
    <row r="57" spans="1:22" x14ac:dyDescent="0.35">
      <c r="A57" t="s">
        <v>59</v>
      </c>
      <c r="B57" t="s">
        <v>29</v>
      </c>
      <c r="C57" t="s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5</v>
      </c>
      <c r="K57">
        <v>3</v>
      </c>
      <c r="L57">
        <v>13</v>
      </c>
      <c r="M57">
        <v>19</v>
      </c>
      <c r="N57">
        <v>17</v>
      </c>
      <c r="O57">
        <v>12</v>
      </c>
      <c r="P57">
        <v>23</v>
      </c>
      <c r="Q57">
        <v>5</v>
      </c>
      <c r="R57">
        <v>7</v>
      </c>
      <c r="S57">
        <v>3</v>
      </c>
      <c r="U57">
        <f>SUMPRODUCT(D49:S49, D57:S57) / SUM(D57:S57)</f>
        <v>11.342592592592593</v>
      </c>
      <c r="V57">
        <f>SUM(D57:S57)</f>
        <v>108</v>
      </c>
    </row>
    <row r="58" spans="1:22" x14ac:dyDescent="0.35">
      <c r="B58" t="s">
        <v>28</v>
      </c>
      <c r="C58" t="s">
        <v>2</v>
      </c>
      <c r="D58">
        <v>11</v>
      </c>
      <c r="E58">
        <v>0</v>
      </c>
      <c r="F58">
        <v>8</v>
      </c>
      <c r="G58">
        <v>3</v>
      </c>
      <c r="H58">
        <v>6</v>
      </c>
      <c r="I58">
        <v>4</v>
      </c>
      <c r="J58">
        <v>8</v>
      </c>
      <c r="K58">
        <v>8</v>
      </c>
      <c r="L58">
        <v>6</v>
      </c>
      <c r="M58">
        <v>7</v>
      </c>
      <c r="N58">
        <v>4</v>
      </c>
      <c r="O58">
        <v>4</v>
      </c>
      <c r="P58">
        <v>2</v>
      </c>
      <c r="Q58">
        <v>4</v>
      </c>
      <c r="R58">
        <v>0</v>
      </c>
      <c r="S58">
        <v>0</v>
      </c>
      <c r="U58">
        <f>SUMPRODUCT(D49:S49, D58:S58) / SUM(D58:S58)</f>
        <v>6.92</v>
      </c>
      <c r="V58">
        <f>SUM(D58:S58)</f>
        <v>75</v>
      </c>
    </row>
    <row r="59" spans="1:22" x14ac:dyDescent="0.35">
      <c r="B59" t="s">
        <v>27</v>
      </c>
      <c r="C59" t="s">
        <v>2</v>
      </c>
      <c r="D59">
        <v>11</v>
      </c>
      <c r="E59">
        <v>14</v>
      </c>
      <c r="F59">
        <v>25</v>
      </c>
      <c r="G59">
        <v>1</v>
      </c>
      <c r="H59">
        <v>9</v>
      </c>
      <c r="I59">
        <v>16</v>
      </c>
      <c r="J59">
        <v>5</v>
      </c>
      <c r="K59">
        <v>4</v>
      </c>
      <c r="L59">
        <v>2</v>
      </c>
      <c r="M59">
        <v>0</v>
      </c>
      <c r="N59">
        <v>1</v>
      </c>
      <c r="O59">
        <v>1</v>
      </c>
      <c r="P59">
        <v>1</v>
      </c>
      <c r="Q59">
        <v>1</v>
      </c>
      <c r="R59">
        <v>0</v>
      </c>
      <c r="S59">
        <v>0</v>
      </c>
      <c r="U59">
        <f>SUMPRODUCT(D49:S49, D59:S59) / SUM(D59:S59)</f>
        <v>4.3296703296703294</v>
      </c>
      <c r="V59">
        <f>SUM(D59:S59)</f>
        <v>91</v>
      </c>
    </row>
    <row r="60" spans="1:22" s="3" customFormat="1" x14ac:dyDescent="0.35">
      <c r="B60" s="3" t="s">
        <v>26</v>
      </c>
      <c r="C60" s="3" t="s">
        <v>0</v>
      </c>
      <c r="D60" s="3">
        <v>0</v>
      </c>
      <c r="E60" s="3">
        <v>3</v>
      </c>
      <c r="F60" s="3">
        <v>5</v>
      </c>
      <c r="G60" s="3">
        <v>5</v>
      </c>
      <c r="H60" s="3">
        <v>10</v>
      </c>
      <c r="I60" s="3">
        <v>7</v>
      </c>
      <c r="J60" s="3">
        <v>7</v>
      </c>
      <c r="K60" s="3">
        <v>12</v>
      </c>
      <c r="L60" s="3">
        <v>9</v>
      </c>
      <c r="M60" s="3">
        <v>13</v>
      </c>
      <c r="N60" s="3">
        <v>14</v>
      </c>
      <c r="O60" s="3">
        <v>5</v>
      </c>
      <c r="P60" s="3">
        <v>2</v>
      </c>
      <c r="Q60" s="3">
        <v>0</v>
      </c>
      <c r="R60" s="3">
        <v>0</v>
      </c>
      <c r="S60" s="3">
        <v>0</v>
      </c>
      <c r="U60" s="3">
        <f>SUMPRODUCT(D49:S49, D60:S60) / SUM(D60:S60)</f>
        <v>7.9239130434782608</v>
      </c>
      <c r="V60" s="3">
        <f>SUM(D60:S60)</f>
        <v>92</v>
      </c>
    </row>
    <row r="61" spans="1:22" x14ac:dyDescent="0.35">
      <c r="A61" s="6" t="s">
        <v>31</v>
      </c>
      <c r="B61" s="6" t="s">
        <v>52</v>
      </c>
    </row>
    <row r="62" spans="1:22" x14ac:dyDescent="0.35">
      <c r="A62" t="s">
        <v>68</v>
      </c>
      <c r="B62" t="s">
        <v>29</v>
      </c>
      <c r="C62" t="s">
        <v>0</v>
      </c>
      <c r="D62">
        <v>0</v>
      </c>
      <c r="E62">
        <v>1</v>
      </c>
      <c r="F62">
        <v>0</v>
      </c>
      <c r="G62">
        <v>6</v>
      </c>
      <c r="H62">
        <v>1</v>
      </c>
      <c r="I62">
        <v>1</v>
      </c>
      <c r="J62">
        <v>3</v>
      </c>
      <c r="K62">
        <v>5</v>
      </c>
      <c r="L62">
        <v>10</v>
      </c>
      <c r="M62">
        <v>13</v>
      </c>
      <c r="N62">
        <v>11</v>
      </c>
      <c r="O62">
        <v>6</v>
      </c>
      <c r="P62">
        <v>2</v>
      </c>
      <c r="Q62">
        <v>6</v>
      </c>
      <c r="R62">
        <v>21</v>
      </c>
      <c r="S62">
        <v>15</v>
      </c>
      <c r="U62">
        <f>SUMPRODUCT(D$1:S$1, D62:S62) / SUM(D62:S62)</f>
        <v>11.643564356435643</v>
      </c>
      <c r="V62">
        <f>SUM(D62:S62)</f>
        <v>101</v>
      </c>
    </row>
    <row r="63" spans="1:22" x14ac:dyDescent="0.35">
      <c r="B63" t="s">
        <v>28</v>
      </c>
      <c r="C63" t="s">
        <v>2</v>
      </c>
      <c r="D63">
        <v>4</v>
      </c>
      <c r="E63">
        <v>4</v>
      </c>
      <c r="F63">
        <v>2</v>
      </c>
      <c r="G63">
        <v>0</v>
      </c>
      <c r="H63">
        <v>0</v>
      </c>
      <c r="I63">
        <v>2</v>
      </c>
      <c r="J63">
        <v>8</v>
      </c>
      <c r="K63">
        <v>10</v>
      </c>
      <c r="L63">
        <v>6</v>
      </c>
      <c r="M63">
        <v>8</v>
      </c>
      <c r="N63">
        <v>6</v>
      </c>
      <c r="O63">
        <v>10</v>
      </c>
      <c r="P63">
        <v>5</v>
      </c>
      <c r="Q63">
        <v>8</v>
      </c>
      <c r="R63">
        <v>4</v>
      </c>
      <c r="S63">
        <v>4</v>
      </c>
      <c r="U63">
        <f>SUMPRODUCT(D$1:S$1, D63:S63) / SUM(D63:S63)</f>
        <v>9.716049382716049</v>
      </c>
      <c r="V63">
        <f>SUM(D63:S63)</f>
        <v>81</v>
      </c>
    </row>
    <row r="64" spans="1:22" x14ac:dyDescent="0.35">
      <c r="B64" t="s">
        <v>27</v>
      </c>
      <c r="C64" t="s">
        <v>2</v>
      </c>
      <c r="D64">
        <v>6</v>
      </c>
      <c r="E64">
        <v>4</v>
      </c>
      <c r="F64">
        <v>0</v>
      </c>
      <c r="G64">
        <v>10</v>
      </c>
      <c r="H64">
        <v>5</v>
      </c>
      <c r="I64">
        <v>6</v>
      </c>
      <c r="J64">
        <v>6</v>
      </c>
      <c r="K64">
        <v>11</v>
      </c>
      <c r="L64">
        <v>5</v>
      </c>
      <c r="M64">
        <v>4</v>
      </c>
      <c r="N64">
        <v>1</v>
      </c>
      <c r="O64">
        <v>7</v>
      </c>
      <c r="P64">
        <v>2</v>
      </c>
      <c r="Q64">
        <v>3</v>
      </c>
      <c r="R64">
        <v>0</v>
      </c>
      <c r="S64">
        <v>0</v>
      </c>
      <c r="U64">
        <f>SUMPRODUCT(D$1:S$1, D64:S64) / SUM(D64:S64)</f>
        <v>7.0428571428571427</v>
      </c>
      <c r="V64">
        <f>SUM(D64:S64)</f>
        <v>70</v>
      </c>
    </row>
    <row r="65" spans="1:22" x14ac:dyDescent="0.35">
      <c r="B65" t="s">
        <v>26</v>
      </c>
      <c r="C65" t="s">
        <v>0</v>
      </c>
      <c r="D65">
        <v>2</v>
      </c>
      <c r="E65">
        <v>4</v>
      </c>
      <c r="F65">
        <v>4</v>
      </c>
      <c r="G65">
        <v>2</v>
      </c>
      <c r="H65">
        <v>11</v>
      </c>
      <c r="I65">
        <v>1</v>
      </c>
      <c r="J65">
        <v>0</v>
      </c>
      <c r="K65">
        <v>11</v>
      </c>
      <c r="L65">
        <v>6</v>
      </c>
      <c r="M65">
        <v>5</v>
      </c>
      <c r="N65">
        <v>4</v>
      </c>
      <c r="O65">
        <v>8</v>
      </c>
      <c r="P65">
        <v>0</v>
      </c>
      <c r="Q65">
        <v>0</v>
      </c>
      <c r="R65">
        <v>0</v>
      </c>
      <c r="S65">
        <v>0</v>
      </c>
      <c r="U65">
        <f>SUMPRODUCT(D$1:S$1, D65:S65) / SUM(D65:S65)</f>
        <v>7.2931034482758621</v>
      </c>
      <c r="V65">
        <f>SUM(D65:S65)</f>
        <v>58</v>
      </c>
    </row>
    <row r="67" spans="1:22" x14ac:dyDescent="0.35">
      <c r="A67" s="6" t="s">
        <v>30</v>
      </c>
      <c r="B67" s="6" t="s">
        <v>53</v>
      </c>
    </row>
    <row r="68" spans="1:22" x14ac:dyDescent="0.35">
      <c r="A68" t="s">
        <v>67</v>
      </c>
      <c r="B68" t="s">
        <v>29</v>
      </c>
      <c r="C68" t="s">
        <v>0</v>
      </c>
      <c r="D68">
        <v>0</v>
      </c>
      <c r="E68">
        <v>0</v>
      </c>
      <c r="F68">
        <v>0</v>
      </c>
      <c r="G68">
        <v>2</v>
      </c>
      <c r="H68">
        <v>0</v>
      </c>
      <c r="I68">
        <v>3</v>
      </c>
      <c r="J68">
        <v>3</v>
      </c>
      <c r="K68">
        <v>7</v>
      </c>
      <c r="L68">
        <v>14</v>
      </c>
      <c r="M68">
        <v>17</v>
      </c>
      <c r="N68">
        <v>21</v>
      </c>
      <c r="O68">
        <v>6</v>
      </c>
      <c r="P68">
        <v>22</v>
      </c>
      <c r="Q68">
        <v>5</v>
      </c>
      <c r="R68">
        <v>10</v>
      </c>
      <c r="S68">
        <v>0</v>
      </c>
      <c r="U68">
        <f>SUMPRODUCT(D$1:S$1, D68:S68) / SUM(D68:S68)</f>
        <v>10.981818181818182</v>
      </c>
      <c r="V68">
        <f>SUM(D68:S68)</f>
        <v>110</v>
      </c>
    </row>
    <row r="69" spans="1:22" x14ac:dyDescent="0.35">
      <c r="B69" t="s">
        <v>28</v>
      </c>
      <c r="C69" t="s">
        <v>2</v>
      </c>
      <c r="D69">
        <v>29</v>
      </c>
      <c r="E69">
        <v>11</v>
      </c>
      <c r="F69">
        <v>4</v>
      </c>
      <c r="G69">
        <v>3</v>
      </c>
      <c r="H69">
        <v>7</v>
      </c>
      <c r="I69">
        <v>8</v>
      </c>
      <c r="J69">
        <v>4</v>
      </c>
      <c r="K69">
        <v>7</v>
      </c>
      <c r="L69">
        <v>6</v>
      </c>
      <c r="M69">
        <v>1</v>
      </c>
      <c r="N69">
        <v>2</v>
      </c>
      <c r="O69">
        <v>5</v>
      </c>
      <c r="P69">
        <v>1</v>
      </c>
      <c r="Q69">
        <v>2</v>
      </c>
      <c r="R69">
        <v>0</v>
      </c>
      <c r="S69">
        <v>0</v>
      </c>
      <c r="U69">
        <f>SUMPRODUCT(D$1:S$1, D69:S69) / SUM(D69:S69)</f>
        <v>4.7666666666666666</v>
      </c>
      <c r="V69">
        <f>SUM(D69:S69)</f>
        <v>90</v>
      </c>
    </row>
    <row r="70" spans="1:22" x14ac:dyDescent="0.35">
      <c r="B70" t="s">
        <v>27</v>
      </c>
      <c r="C70" t="s">
        <v>2</v>
      </c>
      <c r="D70">
        <v>18</v>
      </c>
      <c r="E70">
        <v>14</v>
      </c>
      <c r="F70">
        <v>18</v>
      </c>
      <c r="G70">
        <v>3</v>
      </c>
      <c r="H70">
        <v>14</v>
      </c>
      <c r="I70">
        <v>14</v>
      </c>
      <c r="J70">
        <v>6</v>
      </c>
      <c r="K70">
        <v>8</v>
      </c>
      <c r="L70">
        <v>10</v>
      </c>
      <c r="M70">
        <v>0</v>
      </c>
      <c r="N70">
        <v>0</v>
      </c>
      <c r="O70">
        <v>2</v>
      </c>
      <c r="P70">
        <v>0</v>
      </c>
      <c r="Q70">
        <v>2</v>
      </c>
      <c r="R70">
        <v>0</v>
      </c>
      <c r="S70">
        <v>0</v>
      </c>
      <c r="U70">
        <f>SUMPRODUCT(D$1:S$1, D70:S70) / SUM(D70:S70)</f>
        <v>4.7155963302752291</v>
      </c>
      <c r="V70">
        <f>SUM(D70:S70)</f>
        <v>109</v>
      </c>
    </row>
    <row r="71" spans="1:22" x14ac:dyDescent="0.35">
      <c r="B71" t="s">
        <v>26</v>
      </c>
      <c r="C71" t="s">
        <v>0</v>
      </c>
      <c r="D71">
        <v>1</v>
      </c>
      <c r="E71">
        <v>10</v>
      </c>
      <c r="F71">
        <v>7</v>
      </c>
      <c r="G71">
        <v>6</v>
      </c>
      <c r="H71">
        <v>2</v>
      </c>
      <c r="I71">
        <v>2</v>
      </c>
      <c r="J71">
        <v>0</v>
      </c>
      <c r="K71">
        <v>12</v>
      </c>
      <c r="L71">
        <v>8</v>
      </c>
      <c r="M71">
        <v>3</v>
      </c>
      <c r="N71">
        <v>1</v>
      </c>
      <c r="O71">
        <v>1</v>
      </c>
      <c r="P71">
        <v>0</v>
      </c>
      <c r="Q71">
        <v>1</v>
      </c>
      <c r="R71">
        <v>0</v>
      </c>
      <c r="S71">
        <v>0</v>
      </c>
      <c r="U71">
        <f>SUMPRODUCT(D$1:S$1, D71:S71) / SUM(D71:S71)</f>
        <v>5.9814814814814818</v>
      </c>
      <c r="V71">
        <f>SUM(D71:S71)</f>
        <v>54</v>
      </c>
    </row>
    <row r="72" spans="1:22" ht="15" thickBot="1" x14ac:dyDescent="0.4"/>
    <row r="73" spans="1:22" s="7" customFormat="1" ht="15.5" thickTop="1" thickBot="1" x14ac:dyDescent="0.4">
      <c r="A73" s="8" t="s">
        <v>66</v>
      </c>
      <c r="B73" s="8" t="s">
        <v>34</v>
      </c>
      <c r="C73" s="8" t="s">
        <v>6</v>
      </c>
      <c r="D73" s="8">
        <v>1</v>
      </c>
      <c r="E73" s="8">
        <v>2</v>
      </c>
      <c r="F73" s="8">
        <v>3</v>
      </c>
      <c r="G73" s="8">
        <v>4</v>
      </c>
      <c r="H73" s="8">
        <v>5</v>
      </c>
      <c r="I73" s="8">
        <v>6</v>
      </c>
      <c r="J73" s="8">
        <v>7</v>
      </c>
      <c r="K73" s="8">
        <v>8</v>
      </c>
      <c r="L73" s="8">
        <v>9</v>
      </c>
      <c r="M73" s="8">
        <v>10</v>
      </c>
      <c r="N73" s="8">
        <v>11</v>
      </c>
      <c r="O73" s="8">
        <v>12</v>
      </c>
      <c r="P73" s="8">
        <v>13</v>
      </c>
      <c r="Q73" s="8">
        <v>14</v>
      </c>
      <c r="R73" s="8">
        <v>15</v>
      </c>
      <c r="S73" s="8">
        <v>16</v>
      </c>
    </row>
    <row r="74" spans="1:22" ht="15" thickTop="1" x14ac:dyDescent="0.35">
      <c r="A74" s="6" t="s">
        <v>33</v>
      </c>
      <c r="B74" s="6" t="s">
        <v>55</v>
      </c>
    </row>
    <row r="75" spans="1:22" x14ac:dyDescent="0.35">
      <c r="A75" t="s">
        <v>65</v>
      </c>
      <c r="B75" t="s">
        <v>29</v>
      </c>
      <c r="C75" t="s">
        <v>2</v>
      </c>
      <c r="D75">
        <v>0</v>
      </c>
      <c r="E75">
        <v>0</v>
      </c>
      <c r="F75">
        <v>0</v>
      </c>
      <c r="G75">
        <v>0</v>
      </c>
      <c r="H75">
        <v>3</v>
      </c>
      <c r="I75">
        <v>1</v>
      </c>
      <c r="J75">
        <v>1</v>
      </c>
      <c r="K75">
        <v>5</v>
      </c>
      <c r="L75">
        <v>5</v>
      </c>
      <c r="M75">
        <v>7</v>
      </c>
      <c r="N75">
        <v>5</v>
      </c>
      <c r="O75">
        <v>3</v>
      </c>
      <c r="P75">
        <v>4</v>
      </c>
      <c r="Q75">
        <v>6</v>
      </c>
      <c r="R75">
        <v>16</v>
      </c>
      <c r="S75">
        <v>14</v>
      </c>
      <c r="U75">
        <f>SUMPRODUCT(D$1:S$1, D75:S75) / SUM(D75:S75)</f>
        <v>12.485714285714286</v>
      </c>
      <c r="V75">
        <f>SUM(D75:S75)</f>
        <v>70</v>
      </c>
    </row>
    <row r="76" spans="1:22" x14ac:dyDescent="0.35">
      <c r="B76" t="s">
        <v>28</v>
      </c>
      <c r="C76" t="s">
        <v>0</v>
      </c>
      <c r="D76">
        <v>7</v>
      </c>
      <c r="E76">
        <v>3</v>
      </c>
      <c r="F76">
        <v>1</v>
      </c>
      <c r="G76">
        <v>1</v>
      </c>
      <c r="H76">
        <v>1</v>
      </c>
      <c r="I76">
        <v>5</v>
      </c>
      <c r="J76">
        <v>10</v>
      </c>
      <c r="K76">
        <v>7</v>
      </c>
      <c r="L76">
        <v>7</v>
      </c>
      <c r="M76">
        <v>6</v>
      </c>
      <c r="N76">
        <v>8</v>
      </c>
      <c r="O76">
        <v>11</v>
      </c>
      <c r="P76">
        <v>7</v>
      </c>
      <c r="Q76">
        <v>8</v>
      </c>
      <c r="R76">
        <v>8</v>
      </c>
      <c r="S76">
        <v>5</v>
      </c>
      <c r="U76">
        <f>SUMPRODUCT(D$1:S$1, D76:S76) / SUM(D76:S76)</f>
        <v>9.7578947368421058</v>
      </c>
      <c r="V76">
        <f>SUM(D76:S76)</f>
        <v>95</v>
      </c>
    </row>
    <row r="77" spans="1:22" x14ac:dyDescent="0.35">
      <c r="B77" t="s">
        <v>27</v>
      </c>
      <c r="C77" t="s">
        <v>0</v>
      </c>
      <c r="D77">
        <v>0</v>
      </c>
      <c r="E77">
        <v>5</v>
      </c>
      <c r="F77">
        <v>5</v>
      </c>
      <c r="G77">
        <v>3</v>
      </c>
      <c r="H77">
        <v>4</v>
      </c>
      <c r="I77">
        <v>7</v>
      </c>
      <c r="J77">
        <v>6</v>
      </c>
      <c r="K77">
        <v>9</v>
      </c>
      <c r="L77">
        <v>14</v>
      </c>
      <c r="M77">
        <v>7</v>
      </c>
      <c r="N77">
        <v>5</v>
      </c>
      <c r="O77">
        <v>5</v>
      </c>
      <c r="P77">
        <v>1</v>
      </c>
      <c r="Q77">
        <v>1</v>
      </c>
      <c r="R77">
        <v>4</v>
      </c>
      <c r="S77">
        <v>4</v>
      </c>
      <c r="U77">
        <f>SUMPRODUCT(D$1:S$1, D77:S77) / SUM(D77:S77)</f>
        <v>8.4375</v>
      </c>
      <c r="V77">
        <f>SUM(D77:S77)</f>
        <v>80</v>
      </c>
    </row>
    <row r="78" spans="1:22" x14ac:dyDescent="0.35">
      <c r="B78" t="s">
        <v>26</v>
      </c>
      <c r="C78" t="s">
        <v>2</v>
      </c>
      <c r="D78">
        <v>0</v>
      </c>
      <c r="E78">
        <v>5</v>
      </c>
      <c r="F78">
        <v>0</v>
      </c>
      <c r="G78">
        <v>4</v>
      </c>
      <c r="H78">
        <v>4</v>
      </c>
      <c r="I78">
        <v>2</v>
      </c>
      <c r="J78">
        <v>1</v>
      </c>
      <c r="K78">
        <v>7</v>
      </c>
      <c r="L78">
        <v>5</v>
      </c>
      <c r="M78">
        <v>3</v>
      </c>
      <c r="N78">
        <v>6</v>
      </c>
      <c r="O78">
        <v>4</v>
      </c>
      <c r="P78">
        <v>1</v>
      </c>
      <c r="Q78">
        <v>2</v>
      </c>
      <c r="R78">
        <v>3</v>
      </c>
      <c r="S78">
        <v>3</v>
      </c>
      <c r="U78">
        <f>SUMPRODUCT(D$1:S$1, D78:S78) / SUM(D78:S78)</f>
        <v>8.8800000000000008</v>
      </c>
      <c r="V78">
        <f>SUM(D78:S78)</f>
        <v>50</v>
      </c>
    </row>
    <row r="80" spans="1:22" x14ac:dyDescent="0.35">
      <c r="A80" s="6" t="s">
        <v>32</v>
      </c>
      <c r="B80" s="6" t="s">
        <v>54</v>
      </c>
    </row>
    <row r="81" spans="1:22" x14ac:dyDescent="0.35">
      <c r="A81" t="s">
        <v>64</v>
      </c>
      <c r="B81" t="s">
        <v>29</v>
      </c>
      <c r="C81" t="s">
        <v>2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2</v>
      </c>
      <c r="K81">
        <v>2</v>
      </c>
      <c r="L81">
        <v>5</v>
      </c>
      <c r="M81">
        <v>5</v>
      </c>
      <c r="N81">
        <v>23</v>
      </c>
      <c r="O81">
        <v>17</v>
      </c>
      <c r="P81">
        <v>28</v>
      </c>
      <c r="Q81">
        <v>9</v>
      </c>
      <c r="R81">
        <v>6</v>
      </c>
      <c r="S81">
        <v>0</v>
      </c>
      <c r="U81">
        <f>SUMPRODUCT(D$1:S$1, D81:S81) / SUM(D81:S81)</f>
        <v>11.908163265306122</v>
      </c>
      <c r="V81">
        <f>SUM(D81:S81)</f>
        <v>98</v>
      </c>
    </row>
    <row r="82" spans="1:22" x14ac:dyDescent="0.35">
      <c r="B82" t="s">
        <v>28</v>
      </c>
      <c r="C82" t="s">
        <v>0</v>
      </c>
      <c r="D82">
        <v>2</v>
      </c>
      <c r="E82">
        <v>1</v>
      </c>
      <c r="F82">
        <v>2</v>
      </c>
      <c r="G82">
        <v>6</v>
      </c>
      <c r="H82">
        <v>10</v>
      </c>
      <c r="I82">
        <v>10</v>
      </c>
      <c r="J82">
        <v>12</v>
      </c>
      <c r="K82">
        <v>12</v>
      </c>
      <c r="L82">
        <v>7</v>
      </c>
      <c r="M82">
        <v>7</v>
      </c>
      <c r="N82">
        <v>3</v>
      </c>
      <c r="O82">
        <v>2</v>
      </c>
      <c r="P82">
        <v>4</v>
      </c>
      <c r="Q82">
        <v>4</v>
      </c>
      <c r="R82">
        <v>3</v>
      </c>
      <c r="S82">
        <v>1</v>
      </c>
      <c r="U82">
        <f>SUMPRODUCT(D$1:S$1, D82:S82) / SUM(D82:S82)</f>
        <v>7.941860465116279</v>
      </c>
      <c r="V82">
        <f>SUM(D82:S82)</f>
        <v>86</v>
      </c>
    </row>
    <row r="83" spans="1:22" x14ac:dyDescent="0.35">
      <c r="B83" t="s">
        <v>27</v>
      </c>
      <c r="C83" t="s">
        <v>0</v>
      </c>
      <c r="D83">
        <v>18</v>
      </c>
      <c r="E83">
        <v>40</v>
      </c>
      <c r="F83">
        <v>17</v>
      </c>
      <c r="G83">
        <v>7</v>
      </c>
      <c r="H83">
        <v>12</v>
      </c>
      <c r="I83">
        <v>8</v>
      </c>
      <c r="J83">
        <v>3</v>
      </c>
      <c r="K83">
        <v>2</v>
      </c>
      <c r="L83">
        <v>1</v>
      </c>
      <c r="M83">
        <v>0</v>
      </c>
      <c r="N83">
        <v>3</v>
      </c>
      <c r="O83">
        <v>1</v>
      </c>
      <c r="P83">
        <v>1</v>
      </c>
      <c r="Q83">
        <v>0</v>
      </c>
      <c r="R83">
        <v>0</v>
      </c>
      <c r="S83">
        <v>1</v>
      </c>
      <c r="U83">
        <f>SUMPRODUCT(D$1:S$1, D83:S83) / SUM(D83:S83)</f>
        <v>3.5526315789473686</v>
      </c>
      <c r="V83">
        <f>SUM(D83:S83)</f>
        <v>114</v>
      </c>
    </row>
    <row r="84" spans="1:22" s="3" customFormat="1" x14ac:dyDescent="0.35">
      <c r="B84" s="3" t="s">
        <v>26</v>
      </c>
      <c r="C84" s="3" t="s">
        <v>2</v>
      </c>
      <c r="D84" s="3">
        <v>1</v>
      </c>
      <c r="E84" s="3">
        <v>8</v>
      </c>
      <c r="F84" s="3">
        <v>3</v>
      </c>
      <c r="G84" s="3">
        <v>3</v>
      </c>
      <c r="H84" s="3">
        <v>6</v>
      </c>
      <c r="I84" s="3">
        <v>10</v>
      </c>
      <c r="J84" s="3">
        <v>4</v>
      </c>
      <c r="K84" s="3">
        <v>7</v>
      </c>
      <c r="L84" s="3">
        <v>15</v>
      </c>
      <c r="M84" s="3">
        <v>7</v>
      </c>
      <c r="N84" s="3">
        <v>14</v>
      </c>
      <c r="O84" s="3">
        <v>7</v>
      </c>
      <c r="P84" s="3">
        <v>3</v>
      </c>
      <c r="Q84" s="3">
        <v>4</v>
      </c>
      <c r="R84" s="3">
        <v>0</v>
      </c>
      <c r="S84" s="3">
        <v>1</v>
      </c>
      <c r="U84" s="3">
        <f>SUMPRODUCT(D$1:S$1, D84:S84) / SUM(D84:S84)</f>
        <v>8.236559139784946</v>
      </c>
      <c r="V84" s="3">
        <f>SUM(D84:S84)</f>
        <v>93</v>
      </c>
    </row>
    <row r="85" spans="1:22" x14ac:dyDescent="0.35">
      <c r="A85" s="6" t="s">
        <v>31</v>
      </c>
      <c r="B85" s="6" t="s">
        <v>53</v>
      </c>
    </row>
    <row r="86" spans="1:22" x14ac:dyDescent="0.35">
      <c r="A86" t="s">
        <v>63</v>
      </c>
      <c r="B86" t="s">
        <v>29</v>
      </c>
      <c r="C86" t="s">
        <v>2</v>
      </c>
      <c r="D86">
        <v>0</v>
      </c>
      <c r="E86">
        <v>0</v>
      </c>
      <c r="F86">
        <v>0</v>
      </c>
      <c r="G86">
        <v>1</v>
      </c>
      <c r="H86">
        <v>1</v>
      </c>
      <c r="I86">
        <v>0</v>
      </c>
      <c r="J86">
        <v>2</v>
      </c>
      <c r="K86">
        <v>2</v>
      </c>
      <c r="L86">
        <v>5</v>
      </c>
      <c r="M86">
        <v>2</v>
      </c>
      <c r="N86">
        <v>4</v>
      </c>
      <c r="O86">
        <v>4</v>
      </c>
      <c r="P86">
        <v>6</v>
      </c>
      <c r="Q86">
        <v>3</v>
      </c>
      <c r="R86">
        <v>17</v>
      </c>
      <c r="S86">
        <v>13</v>
      </c>
      <c r="U86">
        <f>SUMPRODUCT(D$1:S$1, D86:S86) / SUM(D86:S86)</f>
        <v>12.983333333333333</v>
      </c>
      <c r="V86">
        <f>SUM(D86:S86)</f>
        <v>60</v>
      </c>
    </row>
    <row r="87" spans="1:22" x14ac:dyDescent="0.35">
      <c r="B87" t="s">
        <v>28</v>
      </c>
      <c r="C87" t="s">
        <v>0</v>
      </c>
      <c r="D87">
        <v>3</v>
      </c>
      <c r="E87">
        <v>3</v>
      </c>
      <c r="F87">
        <v>6</v>
      </c>
      <c r="G87">
        <v>1</v>
      </c>
      <c r="H87">
        <v>3</v>
      </c>
      <c r="I87">
        <v>3</v>
      </c>
      <c r="J87">
        <v>13</v>
      </c>
      <c r="K87">
        <v>10</v>
      </c>
      <c r="L87">
        <v>4</v>
      </c>
      <c r="M87">
        <v>7</v>
      </c>
      <c r="N87">
        <v>8</v>
      </c>
      <c r="O87">
        <v>9</v>
      </c>
      <c r="P87">
        <v>5</v>
      </c>
      <c r="Q87">
        <v>4</v>
      </c>
      <c r="R87">
        <v>5</v>
      </c>
      <c r="S87">
        <v>3</v>
      </c>
      <c r="U87">
        <f>SUMPRODUCT(D$1:S$1, D87:S87) / SUM(D87:S87)</f>
        <v>8.9770114942528743</v>
      </c>
      <c r="V87">
        <f>SUM(D87:S87)</f>
        <v>87</v>
      </c>
    </row>
    <row r="88" spans="1:22" x14ac:dyDescent="0.35">
      <c r="B88" t="s">
        <v>27</v>
      </c>
      <c r="C88" t="s">
        <v>0</v>
      </c>
      <c r="D88">
        <v>5</v>
      </c>
      <c r="E88">
        <v>8</v>
      </c>
      <c r="F88">
        <v>11</v>
      </c>
      <c r="G88">
        <v>4</v>
      </c>
      <c r="H88">
        <v>6</v>
      </c>
      <c r="I88">
        <v>18</v>
      </c>
      <c r="J88">
        <v>1</v>
      </c>
      <c r="K88">
        <v>15</v>
      </c>
      <c r="L88">
        <v>13</v>
      </c>
      <c r="M88">
        <v>4</v>
      </c>
      <c r="N88">
        <v>17</v>
      </c>
      <c r="O88">
        <v>2</v>
      </c>
      <c r="P88">
        <v>4</v>
      </c>
      <c r="Q88">
        <v>0</v>
      </c>
      <c r="R88">
        <v>1</v>
      </c>
      <c r="S88">
        <v>3</v>
      </c>
      <c r="U88">
        <f>SUMPRODUCT(D$1:S$1, D88:S88) / SUM(D88:S88)</f>
        <v>7.3035714285714288</v>
      </c>
      <c r="V88">
        <f>SUM(D88:S88)</f>
        <v>112</v>
      </c>
    </row>
    <row r="89" spans="1:22" x14ac:dyDescent="0.35">
      <c r="B89" t="s">
        <v>26</v>
      </c>
      <c r="C89" t="s">
        <v>2</v>
      </c>
      <c r="D89">
        <v>0</v>
      </c>
      <c r="E89">
        <v>3</v>
      </c>
      <c r="F89">
        <v>2</v>
      </c>
      <c r="G89">
        <v>3</v>
      </c>
      <c r="H89">
        <v>5</v>
      </c>
      <c r="I89">
        <v>0</v>
      </c>
      <c r="J89">
        <v>3</v>
      </c>
      <c r="K89">
        <v>8</v>
      </c>
      <c r="L89">
        <v>4</v>
      </c>
      <c r="M89">
        <v>4</v>
      </c>
      <c r="N89">
        <v>0</v>
      </c>
      <c r="O89">
        <v>1</v>
      </c>
      <c r="P89">
        <v>0</v>
      </c>
      <c r="Q89">
        <v>1</v>
      </c>
      <c r="R89">
        <v>1</v>
      </c>
      <c r="S89">
        <v>0</v>
      </c>
      <c r="U89">
        <f>SUMPRODUCT(D$1:S$1, D89:S89) / SUM(D89:S89)</f>
        <v>7.1714285714285717</v>
      </c>
      <c r="V89">
        <f>SUM(D89:S89)</f>
        <v>35</v>
      </c>
    </row>
    <row r="91" spans="1:22" x14ac:dyDescent="0.35">
      <c r="A91" s="6" t="s">
        <v>30</v>
      </c>
      <c r="B91" s="6" t="s">
        <v>52</v>
      </c>
    </row>
    <row r="92" spans="1:22" x14ac:dyDescent="0.35">
      <c r="A92" t="s">
        <v>62</v>
      </c>
      <c r="B92" t="s">
        <v>29</v>
      </c>
      <c r="C92" t="s">
        <v>2</v>
      </c>
      <c r="D92">
        <v>0</v>
      </c>
      <c r="E92">
        <v>0</v>
      </c>
      <c r="F92">
        <v>0</v>
      </c>
      <c r="G92">
        <v>1</v>
      </c>
      <c r="H92">
        <v>5</v>
      </c>
      <c r="I92">
        <v>8</v>
      </c>
      <c r="J92">
        <v>14</v>
      </c>
      <c r="K92">
        <v>13</v>
      </c>
      <c r="L92">
        <v>9</v>
      </c>
      <c r="M92">
        <v>5</v>
      </c>
      <c r="N92">
        <v>5</v>
      </c>
      <c r="O92">
        <v>0</v>
      </c>
      <c r="P92">
        <v>1</v>
      </c>
      <c r="Q92">
        <v>4</v>
      </c>
      <c r="R92">
        <v>14</v>
      </c>
      <c r="S92">
        <v>4</v>
      </c>
      <c r="U92">
        <f>SUMPRODUCT(D$1:S$1, D92:S92) / SUM(D92:S92)</f>
        <v>9.7349397590361448</v>
      </c>
      <c r="V92">
        <f>SUM(D92:S92)</f>
        <v>83</v>
      </c>
    </row>
    <row r="93" spans="1:22" x14ac:dyDescent="0.35">
      <c r="B93" t="s">
        <v>28</v>
      </c>
      <c r="C93" t="s">
        <v>0</v>
      </c>
      <c r="D93">
        <v>15</v>
      </c>
      <c r="E93">
        <v>13</v>
      </c>
      <c r="F93">
        <v>11</v>
      </c>
      <c r="G93">
        <v>13</v>
      </c>
      <c r="H93">
        <v>10</v>
      </c>
      <c r="I93">
        <v>7</v>
      </c>
      <c r="J93">
        <v>6</v>
      </c>
      <c r="K93">
        <v>7</v>
      </c>
      <c r="L93">
        <v>3</v>
      </c>
      <c r="M93">
        <v>4</v>
      </c>
      <c r="N93">
        <v>5</v>
      </c>
      <c r="O93">
        <v>1</v>
      </c>
      <c r="P93">
        <v>0</v>
      </c>
      <c r="Q93">
        <v>1</v>
      </c>
      <c r="R93">
        <v>15</v>
      </c>
      <c r="S93">
        <v>16</v>
      </c>
      <c r="U93">
        <f>SUMPRODUCT(D$1:S$1, D93:S93) / SUM(D93:S93)</f>
        <v>7.4409448818897639</v>
      </c>
      <c r="V93">
        <f>SUM(D93:S93)</f>
        <v>127</v>
      </c>
    </row>
    <row r="94" spans="1:22" x14ac:dyDescent="0.35">
      <c r="B94" t="s">
        <v>27</v>
      </c>
      <c r="C94" t="s">
        <v>0</v>
      </c>
      <c r="D94">
        <v>14</v>
      </c>
      <c r="E94">
        <v>15</v>
      </c>
      <c r="F94">
        <v>20</v>
      </c>
      <c r="G94">
        <v>5</v>
      </c>
      <c r="H94">
        <v>11</v>
      </c>
      <c r="I94">
        <v>22</v>
      </c>
      <c r="J94">
        <v>3</v>
      </c>
      <c r="K94">
        <v>10</v>
      </c>
      <c r="L94">
        <v>3</v>
      </c>
      <c r="M94">
        <v>1</v>
      </c>
      <c r="N94">
        <v>3</v>
      </c>
      <c r="O94">
        <v>2</v>
      </c>
      <c r="P94">
        <v>1</v>
      </c>
      <c r="Q94">
        <v>1</v>
      </c>
      <c r="R94">
        <v>0</v>
      </c>
      <c r="S94">
        <v>0</v>
      </c>
      <c r="U94">
        <f>SUMPRODUCT(D$1:S$1, D94:S94) / SUM(D94:S94)</f>
        <v>4.801801801801802</v>
      </c>
      <c r="V94">
        <f>SUM(D94:S94)</f>
        <v>111</v>
      </c>
    </row>
    <row r="95" spans="1:22" s="3" customFormat="1" x14ac:dyDescent="0.35">
      <c r="B95" s="3" t="s">
        <v>26</v>
      </c>
      <c r="C95" s="3" t="s">
        <v>2</v>
      </c>
      <c r="D95" s="3">
        <v>7</v>
      </c>
      <c r="E95" s="3">
        <v>15</v>
      </c>
      <c r="F95" s="3">
        <v>4</v>
      </c>
      <c r="G95" s="3">
        <v>9</v>
      </c>
      <c r="H95" s="3">
        <v>9</v>
      </c>
      <c r="I95" s="3">
        <v>5</v>
      </c>
      <c r="J95" s="3">
        <v>3</v>
      </c>
      <c r="K95" s="3">
        <v>12</v>
      </c>
      <c r="L95" s="3">
        <v>3</v>
      </c>
      <c r="M95" s="3">
        <v>5</v>
      </c>
      <c r="N95" s="3">
        <v>4</v>
      </c>
      <c r="O95" s="3">
        <v>3</v>
      </c>
      <c r="P95" s="3">
        <v>1</v>
      </c>
      <c r="Q95" s="3">
        <v>2</v>
      </c>
      <c r="R95" s="3">
        <v>0</v>
      </c>
      <c r="S95" s="3">
        <v>0</v>
      </c>
      <c r="U95" s="3">
        <f>SUMPRODUCT(D$1:S$1, D95:S95) / SUM(D95:S95)</f>
        <v>5.7926829268292686</v>
      </c>
      <c r="V95" s="3">
        <f>SUM(D95:S95)</f>
        <v>82</v>
      </c>
    </row>
    <row r="96" spans="1:22" ht="15" thickBot="1" x14ac:dyDescent="0.4"/>
    <row r="97" spans="1:22" s="7" customFormat="1" ht="15.5" thickTop="1" thickBot="1" x14ac:dyDescent="0.4">
      <c r="A97" s="8" t="s">
        <v>61</v>
      </c>
      <c r="B97" s="8" t="s">
        <v>34</v>
      </c>
      <c r="C97" s="8" t="s">
        <v>6</v>
      </c>
      <c r="D97" s="8">
        <v>1</v>
      </c>
      <c r="E97" s="8">
        <v>2</v>
      </c>
      <c r="F97" s="8">
        <v>3</v>
      </c>
      <c r="G97" s="8">
        <v>4</v>
      </c>
      <c r="H97" s="8">
        <v>5</v>
      </c>
      <c r="I97" s="8">
        <v>6</v>
      </c>
      <c r="J97" s="8">
        <v>7</v>
      </c>
      <c r="K97" s="8">
        <v>8</v>
      </c>
      <c r="L97" s="8">
        <v>9</v>
      </c>
      <c r="M97" s="8">
        <v>10</v>
      </c>
      <c r="N97" s="8">
        <v>11</v>
      </c>
      <c r="O97" s="8">
        <v>12</v>
      </c>
      <c r="P97" s="8">
        <v>13</v>
      </c>
      <c r="Q97" s="8">
        <v>14</v>
      </c>
      <c r="R97" s="8">
        <v>15</v>
      </c>
      <c r="S97" s="8">
        <v>16</v>
      </c>
    </row>
    <row r="98" spans="1:22" ht="15" thickTop="1" x14ac:dyDescent="0.35">
      <c r="A98" s="6" t="s">
        <v>33</v>
      </c>
      <c r="B98" s="6" t="s">
        <v>54</v>
      </c>
    </row>
    <row r="99" spans="1:22" x14ac:dyDescent="0.35">
      <c r="A99" t="s">
        <v>60</v>
      </c>
      <c r="B99" t="s">
        <v>29</v>
      </c>
      <c r="C99" t="s">
        <v>0</v>
      </c>
      <c r="D99">
        <v>0</v>
      </c>
      <c r="E99">
        <v>1</v>
      </c>
      <c r="F99">
        <v>0</v>
      </c>
      <c r="G99">
        <v>0</v>
      </c>
      <c r="H99">
        <v>3</v>
      </c>
      <c r="I99">
        <v>2</v>
      </c>
      <c r="J99">
        <v>5</v>
      </c>
      <c r="K99">
        <v>14</v>
      </c>
      <c r="L99">
        <v>9</v>
      </c>
      <c r="M99">
        <v>5</v>
      </c>
      <c r="N99">
        <v>10</v>
      </c>
      <c r="O99">
        <v>2</v>
      </c>
      <c r="P99">
        <v>0</v>
      </c>
      <c r="Q99">
        <v>5</v>
      </c>
      <c r="R99">
        <v>3</v>
      </c>
      <c r="S99">
        <v>1</v>
      </c>
      <c r="U99">
        <f>SUMPRODUCT(D$1:S$1, D99:S99) / SUM(D99:S99)</f>
        <v>9.5333333333333332</v>
      </c>
      <c r="V99">
        <f>SUM(D99:S99)</f>
        <v>60</v>
      </c>
    </row>
    <row r="100" spans="1:22" x14ac:dyDescent="0.35">
      <c r="B100" t="s">
        <v>28</v>
      </c>
      <c r="C100" t="s">
        <v>2</v>
      </c>
      <c r="D100">
        <v>2</v>
      </c>
      <c r="E100">
        <v>2</v>
      </c>
      <c r="F100">
        <v>0</v>
      </c>
      <c r="G100">
        <v>1</v>
      </c>
      <c r="H100">
        <v>0</v>
      </c>
      <c r="I100">
        <v>1</v>
      </c>
      <c r="J100">
        <v>9</v>
      </c>
      <c r="K100">
        <v>6</v>
      </c>
      <c r="L100">
        <v>4</v>
      </c>
      <c r="M100">
        <v>5</v>
      </c>
      <c r="N100">
        <v>0</v>
      </c>
      <c r="O100">
        <v>5</v>
      </c>
      <c r="P100">
        <v>5</v>
      </c>
      <c r="Q100">
        <v>5</v>
      </c>
      <c r="R100">
        <v>9</v>
      </c>
      <c r="S100">
        <v>11</v>
      </c>
      <c r="U100">
        <f>SUMPRODUCT(D$1:S$1, D100:S100) / SUM(D100:S100)</f>
        <v>11.061538461538461</v>
      </c>
      <c r="V100">
        <f>SUM(D100:S100)</f>
        <v>65</v>
      </c>
    </row>
    <row r="101" spans="1:22" x14ac:dyDescent="0.35">
      <c r="B101" t="s">
        <v>27</v>
      </c>
      <c r="C101" t="s">
        <v>2</v>
      </c>
      <c r="D101">
        <v>4</v>
      </c>
      <c r="E101">
        <v>6</v>
      </c>
      <c r="F101">
        <v>13</v>
      </c>
      <c r="G101">
        <v>4</v>
      </c>
      <c r="H101">
        <v>5</v>
      </c>
      <c r="I101">
        <v>9</v>
      </c>
      <c r="J101">
        <v>4</v>
      </c>
      <c r="K101">
        <v>6</v>
      </c>
      <c r="L101">
        <v>14</v>
      </c>
      <c r="M101">
        <v>3</v>
      </c>
      <c r="N101">
        <v>7</v>
      </c>
      <c r="O101">
        <v>1</v>
      </c>
      <c r="P101">
        <v>0</v>
      </c>
      <c r="Q101">
        <v>2</v>
      </c>
      <c r="R101">
        <v>1</v>
      </c>
      <c r="S101">
        <v>0</v>
      </c>
      <c r="U101">
        <f>SUMPRODUCT(D$1:S$1, D101:S101) / SUM(D101:S101)</f>
        <v>6.5063291139240507</v>
      </c>
      <c r="V101">
        <f>SUM(D101:S101)</f>
        <v>79</v>
      </c>
    </row>
    <row r="102" spans="1:22" x14ac:dyDescent="0.35">
      <c r="B102" t="s">
        <v>26</v>
      </c>
      <c r="C102" t="s">
        <v>0</v>
      </c>
      <c r="D102">
        <v>3</v>
      </c>
      <c r="E102">
        <v>6</v>
      </c>
      <c r="F102">
        <v>2</v>
      </c>
      <c r="G102">
        <v>12</v>
      </c>
      <c r="H102">
        <v>4</v>
      </c>
      <c r="I102">
        <v>10</v>
      </c>
      <c r="J102">
        <v>1</v>
      </c>
      <c r="K102">
        <v>13</v>
      </c>
      <c r="L102">
        <v>10</v>
      </c>
      <c r="M102">
        <v>3</v>
      </c>
      <c r="N102">
        <v>2</v>
      </c>
      <c r="O102">
        <v>3</v>
      </c>
      <c r="P102">
        <v>3</v>
      </c>
      <c r="Q102">
        <v>3</v>
      </c>
      <c r="R102">
        <v>1</v>
      </c>
      <c r="S102">
        <v>0</v>
      </c>
      <c r="U102">
        <f>SUMPRODUCT(D$1:S$1, D102:S102) / SUM(D102:S102)</f>
        <v>7.0263157894736841</v>
      </c>
      <c r="V102">
        <f>SUM(D102:S102)</f>
        <v>76</v>
      </c>
    </row>
    <row r="104" spans="1:22" x14ac:dyDescent="0.35">
      <c r="A104" s="6" t="s">
        <v>32</v>
      </c>
      <c r="B104" s="6" t="s">
        <v>55</v>
      </c>
    </row>
    <row r="105" spans="1:22" x14ac:dyDescent="0.35">
      <c r="A105" t="s">
        <v>59</v>
      </c>
      <c r="B105" t="s">
        <v>29</v>
      </c>
      <c r="C105" t="s">
        <v>0</v>
      </c>
      <c r="D105">
        <v>1</v>
      </c>
      <c r="E105">
        <v>0</v>
      </c>
      <c r="F105">
        <v>0</v>
      </c>
      <c r="G105">
        <v>2</v>
      </c>
      <c r="H105">
        <v>1</v>
      </c>
      <c r="I105">
        <v>1</v>
      </c>
      <c r="J105">
        <v>1</v>
      </c>
      <c r="K105">
        <v>5</v>
      </c>
      <c r="L105">
        <v>3</v>
      </c>
      <c r="M105">
        <v>5</v>
      </c>
      <c r="N105">
        <v>6</v>
      </c>
      <c r="O105">
        <v>8</v>
      </c>
      <c r="P105">
        <v>9</v>
      </c>
      <c r="Q105">
        <v>11</v>
      </c>
      <c r="R105">
        <v>12</v>
      </c>
      <c r="S105">
        <v>13</v>
      </c>
      <c r="U105">
        <f>SUMPRODUCT(D$1:S$1, D105:S105) / SUM(D105:S105)</f>
        <v>12.371794871794872</v>
      </c>
      <c r="V105">
        <f>SUM(D105:S105)</f>
        <v>78</v>
      </c>
    </row>
    <row r="106" spans="1:22" x14ac:dyDescent="0.35">
      <c r="B106" t="s">
        <v>28</v>
      </c>
      <c r="C106" t="s">
        <v>2</v>
      </c>
      <c r="D106">
        <v>3</v>
      </c>
      <c r="E106">
        <v>5</v>
      </c>
      <c r="F106">
        <v>5</v>
      </c>
      <c r="G106">
        <v>1</v>
      </c>
      <c r="H106">
        <v>3</v>
      </c>
      <c r="I106">
        <v>2</v>
      </c>
      <c r="J106">
        <v>4</v>
      </c>
      <c r="K106">
        <v>2</v>
      </c>
      <c r="L106">
        <v>10</v>
      </c>
      <c r="M106">
        <v>5</v>
      </c>
      <c r="N106">
        <v>3</v>
      </c>
      <c r="O106">
        <v>8</v>
      </c>
      <c r="P106">
        <v>4</v>
      </c>
      <c r="Q106">
        <v>5</v>
      </c>
      <c r="R106">
        <v>5</v>
      </c>
      <c r="S106">
        <v>6</v>
      </c>
      <c r="U106">
        <f>SUMPRODUCT(D$1:S$1, D106:S106) / SUM(D106:S106)</f>
        <v>9.3661971830985919</v>
      </c>
      <c r="V106">
        <f>SUM(D106:S106)</f>
        <v>71</v>
      </c>
    </row>
    <row r="107" spans="1:22" x14ac:dyDescent="0.35">
      <c r="B107" t="s">
        <v>27</v>
      </c>
      <c r="C107" t="s">
        <v>2</v>
      </c>
      <c r="D107">
        <v>29</v>
      </c>
      <c r="E107">
        <v>21</v>
      </c>
      <c r="F107">
        <v>9</v>
      </c>
      <c r="G107">
        <v>9</v>
      </c>
      <c r="H107">
        <v>9</v>
      </c>
      <c r="I107">
        <v>4</v>
      </c>
      <c r="J107">
        <v>2</v>
      </c>
      <c r="K107">
        <v>4</v>
      </c>
      <c r="L107">
        <v>3</v>
      </c>
      <c r="M107">
        <v>2</v>
      </c>
      <c r="N107">
        <v>0</v>
      </c>
      <c r="O107">
        <v>2</v>
      </c>
      <c r="P107">
        <v>0</v>
      </c>
      <c r="Q107">
        <v>0</v>
      </c>
      <c r="R107">
        <v>1</v>
      </c>
      <c r="S107">
        <v>0</v>
      </c>
      <c r="U107">
        <f>SUMPRODUCT(D$1:S$1, D107:S107) / SUM(D107:S107)</f>
        <v>3.5263157894736841</v>
      </c>
      <c r="V107">
        <f>SUM(D107:S107)</f>
        <v>95</v>
      </c>
    </row>
    <row r="108" spans="1:22" s="3" customFormat="1" x14ac:dyDescent="0.35">
      <c r="B108" s="3" t="s">
        <v>26</v>
      </c>
      <c r="C108" s="3" t="s">
        <v>0</v>
      </c>
      <c r="D108" s="3">
        <v>3</v>
      </c>
      <c r="E108" s="3">
        <v>3</v>
      </c>
      <c r="F108" s="3">
        <v>9</v>
      </c>
      <c r="G108" s="3">
        <v>6</v>
      </c>
      <c r="H108" s="3">
        <v>4</v>
      </c>
      <c r="I108" s="3">
        <v>17</v>
      </c>
      <c r="J108" s="3">
        <v>2</v>
      </c>
      <c r="K108" s="3">
        <v>8</v>
      </c>
      <c r="L108" s="3">
        <v>15</v>
      </c>
      <c r="M108" s="3">
        <v>13</v>
      </c>
      <c r="N108" s="3">
        <v>9</v>
      </c>
      <c r="O108" s="3">
        <v>5</v>
      </c>
      <c r="P108" s="3">
        <v>10</v>
      </c>
      <c r="Q108" s="3">
        <v>3</v>
      </c>
      <c r="R108" s="3">
        <v>0</v>
      </c>
      <c r="S108" s="3">
        <v>0</v>
      </c>
      <c r="U108" s="3">
        <f>SUMPRODUCT(D$1:S$1, D108:S108) / SUM(D108:S108)</f>
        <v>8</v>
      </c>
      <c r="V108" s="3">
        <f>SUM(D108:S108)</f>
        <v>107</v>
      </c>
    </row>
    <row r="109" spans="1:22" x14ac:dyDescent="0.35">
      <c r="A109" s="6" t="s">
        <v>31</v>
      </c>
      <c r="B109" s="6" t="s">
        <v>52</v>
      </c>
    </row>
    <row r="110" spans="1:22" x14ac:dyDescent="0.35">
      <c r="A110" t="s">
        <v>58</v>
      </c>
      <c r="B110" t="s">
        <v>29</v>
      </c>
      <c r="C110" t="s">
        <v>0</v>
      </c>
      <c r="D110">
        <v>0</v>
      </c>
      <c r="E110">
        <v>1</v>
      </c>
      <c r="F110">
        <v>0</v>
      </c>
      <c r="G110">
        <v>0</v>
      </c>
      <c r="H110">
        <v>2</v>
      </c>
      <c r="I110">
        <v>6</v>
      </c>
      <c r="J110">
        <v>7</v>
      </c>
      <c r="K110">
        <v>22</v>
      </c>
      <c r="L110">
        <v>4</v>
      </c>
      <c r="M110">
        <v>10</v>
      </c>
      <c r="N110">
        <v>2</v>
      </c>
      <c r="O110">
        <v>10</v>
      </c>
      <c r="P110">
        <v>3</v>
      </c>
      <c r="Q110">
        <v>11</v>
      </c>
      <c r="R110">
        <v>3</v>
      </c>
      <c r="S110">
        <v>5</v>
      </c>
      <c r="U110">
        <f>SUMPRODUCT(D$1:S$1, D110:S110) / SUM(D110:S110)</f>
        <v>10.104651162790697</v>
      </c>
      <c r="V110">
        <f>SUM(D110:S110)</f>
        <v>86</v>
      </c>
    </row>
    <row r="111" spans="1:22" x14ac:dyDescent="0.35">
      <c r="B111" t="s">
        <v>28</v>
      </c>
      <c r="C111" t="s">
        <v>2</v>
      </c>
      <c r="D111">
        <v>3</v>
      </c>
      <c r="E111">
        <v>5</v>
      </c>
      <c r="F111">
        <v>4</v>
      </c>
      <c r="G111">
        <v>1</v>
      </c>
      <c r="H111">
        <v>5</v>
      </c>
      <c r="I111">
        <v>4</v>
      </c>
      <c r="J111">
        <v>8</v>
      </c>
      <c r="K111">
        <v>10</v>
      </c>
      <c r="L111">
        <v>13</v>
      </c>
      <c r="M111">
        <v>3</v>
      </c>
      <c r="N111">
        <v>7</v>
      </c>
      <c r="O111">
        <v>7</v>
      </c>
      <c r="P111">
        <v>4</v>
      </c>
      <c r="Q111">
        <v>3</v>
      </c>
      <c r="R111">
        <v>9</v>
      </c>
      <c r="S111">
        <v>15</v>
      </c>
      <c r="U111">
        <f>SUMPRODUCT(D$1:S$1, D111:S111) / SUM(D111:S111)</f>
        <v>9.8118811881188126</v>
      </c>
      <c r="V111">
        <f>SUM(D111:S111)</f>
        <v>101</v>
      </c>
    </row>
    <row r="112" spans="1:22" x14ac:dyDescent="0.35">
      <c r="B112" t="s">
        <v>27</v>
      </c>
      <c r="C112" t="s">
        <v>2</v>
      </c>
      <c r="D112">
        <v>4</v>
      </c>
      <c r="E112">
        <v>14</v>
      </c>
      <c r="F112">
        <v>15</v>
      </c>
      <c r="G112">
        <v>4</v>
      </c>
      <c r="H112">
        <v>5</v>
      </c>
      <c r="I112">
        <v>6</v>
      </c>
      <c r="J112">
        <v>5</v>
      </c>
      <c r="K112">
        <v>2</v>
      </c>
      <c r="L112">
        <v>14</v>
      </c>
      <c r="M112">
        <v>4</v>
      </c>
      <c r="N112">
        <v>3</v>
      </c>
      <c r="O112">
        <v>2</v>
      </c>
      <c r="P112">
        <v>3</v>
      </c>
      <c r="Q112">
        <v>1</v>
      </c>
      <c r="R112">
        <v>1</v>
      </c>
      <c r="S112">
        <v>3</v>
      </c>
      <c r="U112">
        <f>SUMPRODUCT(D$1:S$1, D112:S112) / SUM(D112:S112)</f>
        <v>6.3255813953488369</v>
      </c>
      <c r="V112">
        <f>SUM(D112:S112)</f>
        <v>86</v>
      </c>
    </row>
    <row r="113" spans="1:22" x14ac:dyDescent="0.35">
      <c r="B113" t="s">
        <v>26</v>
      </c>
      <c r="C113" t="s">
        <v>0</v>
      </c>
      <c r="D113">
        <v>4</v>
      </c>
      <c r="E113">
        <v>7</v>
      </c>
      <c r="F113">
        <v>8</v>
      </c>
      <c r="G113">
        <v>8</v>
      </c>
      <c r="H113">
        <v>8</v>
      </c>
      <c r="I113">
        <v>9</v>
      </c>
      <c r="J113">
        <v>4</v>
      </c>
      <c r="K113">
        <v>14</v>
      </c>
      <c r="L113">
        <v>9</v>
      </c>
      <c r="M113">
        <v>7</v>
      </c>
      <c r="N113">
        <v>2</v>
      </c>
      <c r="O113">
        <v>6</v>
      </c>
      <c r="P113">
        <v>1</v>
      </c>
      <c r="Q113">
        <v>0</v>
      </c>
      <c r="R113">
        <v>1</v>
      </c>
      <c r="S113">
        <v>0</v>
      </c>
      <c r="U113">
        <f>SUMPRODUCT(D$1:S$1, D113:S113) / SUM(D113:S113)</f>
        <v>6.6022727272727275</v>
      </c>
      <c r="V113">
        <f>SUM(D113:S113)</f>
        <v>88</v>
      </c>
    </row>
    <row r="115" spans="1:22" x14ac:dyDescent="0.35">
      <c r="A115" s="6" t="s">
        <v>30</v>
      </c>
      <c r="B115" s="6" t="s">
        <v>53</v>
      </c>
    </row>
    <row r="116" spans="1:22" x14ac:dyDescent="0.35">
      <c r="A116" t="s">
        <v>57</v>
      </c>
      <c r="B116" t="s">
        <v>29</v>
      </c>
      <c r="C116" t="s">
        <v>0</v>
      </c>
      <c r="D116">
        <v>0</v>
      </c>
      <c r="E116">
        <v>0</v>
      </c>
      <c r="F116">
        <v>2</v>
      </c>
      <c r="G116">
        <v>2</v>
      </c>
      <c r="H116">
        <v>2</v>
      </c>
      <c r="I116">
        <v>5</v>
      </c>
      <c r="J116">
        <v>2</v>
      </c>
      <c r="K116">
        <v>14</v>
      </c>
      <c r="L116">
        <v>4</v>
      </c>
      <c r="M116">
        <v>5</v>
      </c>
      <c r="N116">
        <v>7</v>
      </c>
      <c r="O116">
        <v>11</v>
      </c>
      <c r="P116">
        <v>6</v>
      </c>
      <c r="Q116">
        <v>15</v>
      </c>
      <c r="R116">
        <v>8</v>
      </c>
      <c r="S116">
        <v>3</v>
      </c>
      <c r="U116">
        <f>SUMPRODUCT(D$1:S$1, D116:S116) / SUM(D116:S116)</f>
        <v>10.825581395348838</v>
      </c>
      <c r="V116">
        <f>SUM(D116:S116)</f>
        <v>86</v>
      </c>
    </row>
    <row r="117" spans="1:22" x14ac:dyDescent="0.35">
      <c r="B117" t="s">
        <v>28</v>
      </c>
      <c r="C117" t="s">
        <v>2</v>
      </c>
      <c r="D117">
        <v>9</v>
      </c>
      <c r="E117">
        <v>9</v>
      </c>
      <c r="F117">
        <v>11</v>
      </c>
      <c r="G117">
        <v>0</v>
      </c>
      <c r="H117">
        <v>6</v>
      </c>
      <c r="I117">
        <v>5</v>
      </c>
      <c r="J117">
        <v>2</v>
      </c>
      <c r="K117">
        <v>5</v>
      </c>
      <c r="L117">
        <v>6</v>
      </c>
      <c r="M117">
        <v>2</v>
      </c>
      <c r="N117">
        <v>3</v>
      </c>
      <c r="O117">
        <v>1</v>
      </c>
      <c r="P117">
        <v>1</v>
      </c>
      <c r="Q117">
        <v>0</v>
      </c>
      <c r="R117">
        <v>1</v>
      </c>
      <c r="S117">
        <v>3</v>
      </c>
      <c r="U117">
        <f>SUMPRODUCT(D$1:S$1, D117:S117) / SUM(D117:S117)</f>
        <v>5.765625</v>
      </c>
      <c r="V117">
        <f>SUM(D117:S117)</f>
        <v>64</v>
      </c>
    </row>
    <row r="118" spans="1:22" x14ac:dyDescent="0.35">
      <c r="B118" t="s">
        <v>27</v>
      </c>
      <c r="C118" t="s">
        <v>2</v>
      </c>
      <c r="D118">
        <v>14</v>
      </c>
      <c r="E118">
        <v>19</v>
      </c>
      <c r="F118">
        <v>16</v>
      </c>
      <c r="G118">
        <v>8</v>
      </c>
      <c r="H118">
        <v>7</v>
      </c>
      <c r="I118">
        <v>10</v>
      </c>
      <c r="J118">
        <v>2</v>
      </c>
      <c r="K118">
        <v>5</v>
      </c>
      <c r="L118">
        <v>6</v>
      </c>
      <c r="M118">
        <v>2</v>
      </c>
      <c r="N118">
        <v>0</v>
      </c>
      <c r="O118">
        <v>2</v>
      </c>
      <c r="P118">
        <v>0</v>
      </c>
      <c r="Q118">
        <v>0</v>
      </c>
      <c r="R118">
        <v>0</v>
      </c>
      <c r="S118">
        <v>0</v>
      </c>
      <c r="U118">
        <f>SUMPRODUCT(D$1:S$1, D118:S118) / SUM(D118:S118)</f>
        <v>4.1648351648351651</v>
      </c>
      <c r="V118">
        <f>SUM(D118:S118)</f>
        <v>91</v>
      </c>
    </row>
    <row r="119" spans="1:22" s="3" customFormat="1" x14ac:dyDescent="0.35">
      <c r="B119" s="3" t="s">
        <v>26</v>
      </c>
      <c r="C119" s="3" t="s">
        <v>0</v>
      </c>
      <c r="D119" s="3">
        <v>10</v>
      </c>
      <c r="E119" s="3">
        <v>2</v>
      </c>
      <c r="F119" s="3">
        <v>3</v>
      </c>
      <c r="G119" s="3">
        <v>2</v>
      </c>
      <c r="H119" s="3">
        <v>9</v>
      </c>
      <c r="I119" s="3">
        <v>11</v>
      </c>
      <c r="J119" s="3">
        <v>6</v>
      </c>
      <c r="K119" s="3">
        <v>11</v>
      </c>
      <c r="L119" s="3">
        <v>8</v>
      </c>
      <c r="M119" s="3">
        <v>6</v>
      </c>
      <c r="N119" s="3">
        <v>0</v>
      </c>
      <c r="O119" s="3">
        <v>2</v>
      </c>
      <c r="P119" s="3">
        <v>0</v>
      </c>
      <c r="Q119" s="3">
        <v>0</v>
      </c>
      <c r="R119" s="3">
        <v>0</v>
      </c>
      <c r="S119" s="3">
        <v>0</v>
      </c>
      <c r="U119" s="3">
        <f>SUMPRODUCT(D$1:S$1, D119:S119) / SUM(D119:S119)</f>
        <v>6.1142857142857139</v>
      </c>
      <c r="V119" s="3">
        <f>SUM(D119:S119)</f>
        <v>70</v>
      </c>
    </row>
    <row r="120" spans="1:22" ht="15" thickBot="1" x14ac:dyDescent="0.4"/>
    <row r="121" spans="1:22" ht="15.5" thickTop="1" thickBot="1" x14ac:dyDescent="0.4">
      <c r="A121" s="8" t="s">
        <v>56</v>
      </c>
      <c r="B121" s="8" t="s">
        <v>34</v>
      </c>
      <c r="C121" s="8" t="s">
        <v>6</v>
      </c>
      <c r="D121" s="8">
        <v>1</v>
      </c>
      <c r="E121" s="8">
        <v>2</v>
      </c>
      <c r="F121" s="8">
        <v>3</v>
      </c>
      <c r="G121" s="8">
        <v>4</v>
      </c>
      <c r="H121" s="8">
        <v>5</v>
      </c>
      <c r="I121" s="8">
        <v>6</v>
      </c>
      <c r="J121" s="8">
        <v>7</v>
      </c>
      <c r="K121" s="8">
        <v>8</v>
      </c>
      <c r="L121" s="8">
        <v>9</v>
      </c>
      <c r="M121" s="8">
        <v>10</v>
      </c>
      <c r="N121" s="8">
        <v>11</v>
      </c>
      <c r="O121" s="8">
        <v>12</v>
      </c>
      <c r="P121" s="8">
        <v>13</v>
      </c>
      <c r="Q121" s="8">
        <v>14</v>
      </c>
      <c r="R121" s="8">
        <v>15</v>
      </c>
      <c r="S121" s="8">
        <v>16</v>
      </c>
      <c r="T121" s="7"/>
      <c r="U121" s="7"/>
      <c r="V121" s="7"/>
    </row>
    <row r="122" spans="1:22" ht="15" thickTop="1" x14ac:dyDescent="0.35">
      <c r="A122" s="6" t="s">
        <v>33</v>
      </c>
      <c r="B122" s="6" t="s">
        <v>55</v>
      </c>
    </row>
    <row r="123" spans="1:22" x14ac:dyDescent="0.35">
      <c r="B123" t="s">
        <v>29</v>
      </c>
      <c r="C123" t="s">
        <v>2</v>
      </c>
      <c r="D123" t="s">
        <v>69</v>
      </c>
      <c r="U123" t="e">
        <f>SUMPRODUCT(D$1:S$1, D123:S123) / SUM(D123:S123)</f>
        <v>#DIV/0!</v>
      </c>
      <c r="V123">
        <f>SUM(D123:S123)</f>
        <v>0</v>
      </c>
    </row>
    <row r="124" spans="1:22" x14ac:dyDescent="0.35">
      <c r="B124" t="s">
        <v>28</v>
      </c>
      <c r="C124" t="s">
        <v>0</v>
      </c>
      <c r="U124" t="e">
        <f>SUMPRODUCT(D$1:S$1, D124:S124) / SUM(D124:S124)</f>
        <v>#DIV/0!</v>
      </c>
      <c r="V124">
        <f>SUM(D124:S124)</f>
        <v>0</v>
      </c>
    </row>
    <row r="125" spans="1:22" x14ac:dyDescent="0.35">
      <c r="B125" t="s">
        <v>27</v>
      </c>
      <c r="C125" t="s">
        <v>0</v>
      </c>
      <c r="U125" t="e">
        <f>SUMPRODUCT(D$1:S$1, D125:S125) / SUM(D125:S125)</f>
        <v>#DIV/0!</v>
      </c>
      <c r="V125">
        <f>SUM(D125:S125)</f>
        <v>0</v>
      </c>
    </row>
    <row r="126" spans="1:22" x14ac:dyDescent="0.35">
      <c r="B126" t="s">
        <v>26</v>
      </c>
      <c r="C126" t="s">
        <v>2</v>
      </c>
      <c r="U126" t="e">
        <f>SUMPRODUCT(D$1:S$1, D126:S126) / SUM(D126:S126)</f>
        <v>#DIV/0!</v>
      </c>
      <c r="V126">
        <f>SUM(D126:S126)</f>
        <v>0</v>
      </c>
    </row>
    <row r="128" spans="1:22" x14ac:dyDescent="0.35">
      <c r="A128" s="6" t="s">
        <v>32</v>
      </c>
      <c r="B128" s="6" t="s">
        <v>54</v>
      </c>
    </row>
    <row r="129" spans="1:22" x14ac:dyDescent="0.35">
      <c r="B129" t="s">
        <v>29</v>
      </c>
      <c r="C129" t="s">
        <v>2</v>
      </c>
      <c r="U129" t="e">
        <f>SUMPRODUCT(D$1:S$1, D129:S129) / SUM(D129:S129)</f>
        <v>#DIV/0!</v>
      </c>
      <c r="V129">
        <f>SUM(D129:S129)</f>
        <v>0</v>
      </c>
    </row>
    <row r="130" spans="1:22" x14ac:dyDescent="0.35">
      <c r="B130" t="s">
        <v>28</v>
      </c>
      <c r="C130" t="s">
        <v>0</v>
      </c>
      <c r="U130" t="e">
        <f>SUMPRODUCT(D$1:S$1, D130:S130) / SUM(D130:S130)</f>
        <v>#DIV/0!</v>
      </c>
      <c r="V130">
        <f>SUM(D130:S130)</f>
        <v>0</v>
      </c>
    </row>
    <row r="131" spans="1:22" x14ac:dyDescent="0.35">
      <c r="B131" t="s">
        <v>27</v>
      </c>
      <c r="C131" t="s">
        <v>0</v>
      </c>
      <c r="U131" t="e">
        <f>SUMPRODUCT(D$1:S$1, D131:S131) / SUM(D131:S131)</f>
        <v>#DIV/0!</v>
      </c>
      <c r="V131">
        <f>SUM(D131:S131)</f>
        <v>0</v>
      </c>
    </row>
    <row r="132" spans="1:22" x14ac:dyDescent="0.35">
      <c r="A132" s="3"/>
      <c r="B132" s="3" t="s">
        <v>26</v>
      </c>
      <c r="C132" s="3" t="s">
        <v>2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 t="e">
        <f>SUMPRODUCT(D$1:S$1, D132:S132) / SUM(D132:S132)</f>
        <v>#DIV/0!</v>
      </c>
      <c r="V132" s="3">
        <f>SUM(D132:S132)</f>
        <v>0</v>
      </c>
    </row>
    <row r="133" spans="1:22" x14ac:dyDescent="0.35">
      <c r="A133" s="6" t="s">
        <v>31</v>
      </c>
      <c r="B133" s="6" t="s">
        <v>53</v>
      </c>
    </row>
    <row r="134" spans="1:22" x14ac:dyDescent="0.35">
      <c r="B134" t="s">
        <v>29</v>
      </c>
      <c r="C134" t="s">
        <v>2</v>
      </c>
      <c r="U134" t="e">
        <f>SUMPRODUCT(D$1:S$1, D134:S134) / SUM(D134:S134)</f>
        <v>#DIV/0!</v>
      </c>
      <c r="V134">
        <f>SUM(D134:S134)</f>
        <v>0</v>
      </c>
    </row>
    <row r="135" spans="1:22" x14ac:dyDescent="0.35">
      <c r="B135" t="s">
        <v>28</v>
      </c>
      <c r="C135" t="s">
        <v>0</v>
      </c>
      <c r="U135" t="e">
        <f>SUMPRODUCT(D$1:S$1, D135:S135) / SUM(D135:S135)</f>
        <v>#DIV/0!</v>
      </c>
      <c r="V135">
        <f>SUM(D135:S135)</f>
        <v>0</v>
      </c>
    </row>
    <row r="136" spans="1:22" x14ac:dyDescent="0.35">
      <c r="B136" t="s">
        <v>27</v>
      </c>
      <c r="C136" t="s">
        <v>0</v>
      </c>
      <c r="U136" t="e">
        <f>SUMPRODUCT(D$1:S$1, D136:S136) / SUM(D136:S136)</f>
        <v>#DIV/0!</v>
      </c>
      <c r="V136">
        <f>SUM(D136:S136)</f>
        <v>0</v>
      </c>
    </row>
    <row r="137" spans="1:22" x14ac:dyDescent="0.35">
      <c r="B137" t="s">
        <v>26</v>
      </c>
      <c r="C137" t="s">
        <v>2</v>
      </c>
      <c r="U137" t="e">
        <f>SUMPRODUCT(D$1:S$1, D137:S137) / SUM(D137:S137)</f>
        <v>#DIV/0!</v>
      </c>
      <c r="V137">
        <f>SUM(D137:S137)</f>
        <v>0</v>
      </c>
    </row>
    <row r="139" spans="1:22" x14ac:dyDescent="0.35">
      <c r="A139" s="6" t="s">
        <v>30</v>
      </c>
      <c r="B139" s="6" t="s">
        <v>52</v>
      </c>
    </row>
    <row r="140" spans="1:22" x14ac:dyDescent="0.35">
      <c r="B140" t="s">
        <v>29</v>
      </c>
      <c r="C140" t="s">
        <v>2</v>
      </c>
      <c r="U140" t="e">
        <f>SUMPRODUCT(D$1:S$1, D140:S140) / SUM(D140:S140)</f>
        <v>#DIV/0!</v>
      </c>
      <c r="V140">
        <f>SUM(D140:S140)</f>
        <v>0</v>
      </c>
    </row>
    <row r="141" spans="1:22" x14ac:dyDescent="0.35">
      <c r="B141" t="s">
        <v>28</v>
      </c>
      <c r="C141" t="s">
        <v>0</v>
      </c>
      <c r="U141" t="e">
        <f>SUMPRODUCT(D$1:S$1, D141:S141) / SUM(D141:S141)</f>
        <v>#DIV/0!</v>
      </c>
      <c r="V141">
        <f>SUM(D141:S141)</f>
        <v>0</v>
      </c>
    </row>
    <row r="142" spans="1:22" x14ac:dyDescent="0.35">
      <c r="B142" t="s">
        <v>27</v>
      </c>
      <c r="C142" t="s">
        <v>0</v>
      </c>
      <c r="U142" t="e">
        <f>SUMPRODUCT(D$1:S$1, D142:S142) / SUM(D142:S142)</f>
        <v>#DIV/0!</v>
      </c>
      <c r="V142">
        <f>SUM(D142:S142)</f>
        <v>0</v>
      </c>
    </row>
    <row r="143" spans="1:22" x14ac:dyDescent="0.35">
      <c r="B143" t="s">
        <v>26</v>
      </c>
      <c r="C143" t="s">
        <v>2</v>
      </c>
      <c r="U143" t="e">
        <f>SUMPRODUCT(D$1:S$1, D143:S143) / SUM(D143:S143)</f>
        <v>#DIV/0!</v>
      </c>
      <c r="V143">
        <f>SUM(D143:S143)</f>
        <v>0</v>
      </c>
    </row>
    <row r="145" spans="1:22" x14ac:dyDescent="0.35">
      <c r="A145" s="6" t="s">
        <v>46</v>
      </c>
      <c r="B145" s="6" t="s">
        <v>41</v>
      </c>
    </row>
    <row r="146" spans="1:22" x14ac:dyDescent="0.35">
      <c r="B146" t="s">
        <v>29</v>
      </c>
      <c r="C146" t="s">
        <v>2</v>
      </c>
      <c r="U146" t="e">
        <f>SUMPRODUCT(D$1:S$1, D146:S146) / SUM(D146:S146)</f>
        <v>#DIV/0!</v>
      </c>
      <c r="V146">
        <f>SUM(D146:S146)</f>
        <v>0</v>
      </c>
    </row>
    <row r="147" spans="1:22" x14ac:dyDescent="0.35">
      <c r="B147" t="s">
        <v>28</v>
      </c>
      <c r="C147" t="s">
        <v>0</v>
      </c>
      <c r="U147" t="e">
        <f>SUMPRODUCT(D$1:S$1, D147:S147) / SUM(D147:S147)</f>
        <v>#DIV/0!</v>
      </c>
      <c r="V147">
        <f>SUM(D147:S147)</f>
        <v>0</v>
      </c>
    </row>
    <row r="149" spans="1:22" x14ac:dyDescent="0.35">
      <c r="B149" s="6" t="s">
        <v>42</v>
      </c>
    </row>
    <row r="150" spans="1:22" x14ac:dyDescent="0.35">
      <c r="B150" t="s">
        <v>27</v>
      </c>
      <c r="C150" t="s">
        <v>0</v>
      </c>
      <c r="U150" t="e">
        <f>SUMPRODUCT(D$1:S$1, D150:S150) / SUM(D150:S150)</f>
        <v>#DIV/0!</v>
      </c>
      <c r="V150">
        <f>SUM(D150:S150)</f>
        <v>0</v>
      </c>
    </row>
    <row r="151" spans="1:22" x14ac:dyDescent="0.35">
      <c r="B151" t="s">
        <v>26</v>
      </c>
      <c r="C151" t="s">
        <v>2</v>
      </c>
      <c r="U151" t="e">
        <f>SUMPRODUCT(D$1:S$1, D151:S151) / SUM(D151:S151)</f>
        <v>#DIV/0!</v>
      </c>
      <c r="V151">
        <f>SUM(D151:S151)</f>
        <v>0</v>
      </c>
    </row>
    <row r="153" spans="1:22" x14ac:dyDescent="0.35">
      <c r="A153" s="6" t="s">
        <v>43</v>
      </c>
      <c r="B153" s="6" t="s">
        <v>44</v>
      </c>
    </row>
    <row r="154" spans="1:22" x14ac:dyDescent="0.35">
      <c r="B154" t="s">
        <v>29</v>
      </c>
      <c r="C154" t="s">
        <v>2</v>
      </c>
      <c r="U154" t="e">
        <f>SUMPRODUCT(D$1:S$1, D154:S154) / SUM(D154:S154)</f>
        <v>#DIV/0!</v>
      </c>
      <c r="V154">
        <f>SUM(D154:S154)</f>
        <v>0</v>
      </c>
    </row>
    <row r="155" spans="1:22" x14ac:dyDescent="0.35">
      <c r="B155" t="s">
        <v>28</v>
      </c>
      <c r="C155" t="s">
        <v>0</v>
      </c>
      <c r="U155" t="e">
        <f>SUMPRODUCT(D$1:S$1, D155:S155) / SUM(D155:S155)</f>
        <v>#DIV/0!</v>
      </c>
      <c r="V155">
        <f>SUM(D155:S155)</f>
        <v>0</v>
      </c>
    </row>
    <row r="157" spans="1:22" x14ac:dyDescent="0.35">
      <c r="B157" s="6" t="s">
        <v>45</v>
      </c>
    </row>
    <row r="158" spans="1:22" x14ac:dyDescent="0.35">
      <c r="B158" t="s">
        <v>27</v>
      </c>
      <c r="C158" t="s">
        <v>0</v>
      </c>
      <c r="U158" t="e">
        <f>SUMPRODUCT(D$1:S$1, D158:S158) / SUM(D158:S158)</f>
        <v>#DIV/0!</v>
      </c>
      <c r="V158">
        <f>SUM(D158:S158)</f>
        <v>0</v>
      </c>
    </row>
    <row r="159" spans="1:22" x14ac:dyDescent="0.35">
      <c r="B159" t="s">
        <v>26</v>
      </c>
      <c r="C159" t="s">
        <v>2</v>
      </c>
      <c r="U159" t="e">
        <f>SUMPRODUCT(D$1:S$1, D159:S159) / SUM(D159:S159)</f>
        <v>#DIV/0!</v>
      </c>
      <c r="V159">
        <f>SUM(D159:S159)</f>
        <v>0</v>
      </c>
    </row>
    <row r="160" spans="1:22" ht="15" thickBot="1" x14ac:dyDescent="0.4"/>
    <row r="161" spans="1:22" ht="15.5" thickTop="1" thickBot="1" x14ac:dyDescent="0.4">
      <c r="A161" s="8" t="s">
        <v>51</v>
      </c>
      <c r="B161" s="8" t="s">
        <v>34</v>
      </c>
      <c r="C161" s="8" t="s">
        <v>6</v>
      </c>
      <c r="D161" s="8">
        <v>1</v>
      </c>
      <c r="E161" s="8">
        <v>2</v>
      </c>
      <c r="F161" s="8">
        <v>3</v>
      </c>
      <c r="G161" s="8">
        <v>4</v>
      </c>
      <c r="H161" s="8">
        <v>5</v>
      </c>
      <c r="I161" s="8">
        <v>6</v>
      </c>
      <c r="J161" s="8">
        <v>7</v>
      </c>
      <c r="K161" s="8">
        <v>8</v>
      </c>
      <c r="L161" s="8">
        <v>9</v>
      </c>
      <c r="M161" s="8">
        <v>10</v>
      </c>
      <c r="N161" s="8">
        <v>11</v>
      </c>
      <c r="O161" s="8">
        <v>12</v>
      </c>
      <c r="P161" s="8">
        <v>13</v>
      </c>
      <c r="Q161" s="8">
        <v>14</v>
      </c>
      <c r="R161" s="8">
        <v>15</v>
      </c>
      <c r="S161" s="8">
        <v>16</v>
      </c>
      <c r="T161" s="7"/>
      <c r="U161" s="7"/>
      <c r="V161" s="7"/>
    </row>
    <row r="162" spans="1:22" ht="15" thickTop="1" x14ac:dyDescent="0.35">
      <c r="A162" s="6" t="s">
        <v>33</v>
      </c>
      <c r="B162" s="6"/>
    </row>
    <row r="163" spans="1:22" x14ac:dyDescent="0.35">
      <c r="B163" t="s">
        <v>29</v>
      </c>
      <c r="U163" t="e">
        <f>SUMPRODUCT(D$1:S$1, D163:S163) / SUM(D163:S163)</f>
        <v>#DIV/0!</v>
      </c>
      <c r="V163">
        <f>SUM(D163:S163)</f>
        <v>0</v>
      </c>
    </row>
    <row r="164" spans="1:22" x14ac:dyDescent="0.35">
      <c r="B164" t="s">
        <v>28</v>
      </c>
      <c r="U164" t="e">
        <f>SUMPRODUCT(D$1:S$1, D164:S164) / SUM(D164:S164)</f>
        <v>#DIV/0!</v>
      </c>
      <c r="V164">
        <f>SUM(D164:S164)</f>
        <v>0</v>
      </c>
    </row>
    <row r="165" spans="1:22" x14ac:dyDescent="0.35">
      <c r="B165" t="s">
        <v>27</v>
      </c>
      <c r="U165" t="e">
        <f>SUMPRODUCT(D$1:S$1, D165:S165) / SUM(D165:S165)</f>
        <v>#DIV/0!</v>
      </c>
      <c r="V165">
        <f>SUM(D165:S165)</f>
        <v>0</v>
      </c>
    </row>
    <row r="166" spans="1:22" x14ac:dyDescent="0.35">
      <c r="B166" t="s">
        <v>26</v>
      </c>
      <c r="U166" t="e">
        <f>SUMPRODUCT(D$1:S$1, D166:S166) / SUM(D166:S166)</f>
        <v>#DIV/0!</v>
      </c>
      <c r="V166">
        <f>SUM(D166:S166)</f>
        <v>0</v>
      </c>
    </row>
    <row r="168" spans="1:22" x14ac:dyDescent="0.35">
      <c r="A168" s="6" t="s">
        <v>32</v>
      </c>
      <c r="B168" s="6"/>
    </row>
    <row r="169" spans="1:22" x14ac:dyDescent="0.35">
      <c r="B169" t="s">
        <v>29</v>
      </c>
      <c r="U169" t="e">
        <f>SUMPRODUCT(D$1:S$1, D169:S169) / SUM(D169:S169)</f>
        <v>#DIV/0!</v>
      </c>
      <c r="V169">
        <f>SUM(D169:S169)</f>
        <v>0</v>
      </c>
    </row>
    <row r="170" spans="1:22" x14ac:dyDescent="0.35">
      <c r="B170" t="s">
        <v>28</v>
      </c>
      <c r="U170" t="e">
        <f>SUMPRODUCT(D$1:S$1, D170:S170) / SUM(D170:S170)</f>
        <v>#DIV/0!</v>
      </c>
      <c r="V170">
        <f>SUM(D170:S170)</f>
        <v>0</v>
      </c>
    </row>
    <row r="171" spans="1:22" x14ac:dyDescent="0.35">
      <c r="B171" t="s">
        <v>27</v>
      </c>
      <c r="U171" t="e">
        <f>SUMPRODUCT(D$1:S$1, D171:S171) / SUM(D171:S171)</f>
        <v>#DIV/0!</v>
      </c>
      <c r="V171">
        <f>SUM(D171:S171)</f>
        <v>0</v>
      </c>
    </row>
    <row r="172" spans="1:22" x14ac:dyDescent="0.35">
      <c r="A172" s="3"/>
      <c r="B172" s="3" t="s">
        <v>26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 t="e">
        <f>SUMPRODUCT(D$1:S$1, D172:S172) / SUM(D172:S172)</f>
        <v>#DIV/0!</v>
      </c>
      <c r="V172" s="3">
        <f>SUM(D172:S172)</f>
        <v>0</v>
      </c>
    </row>
    <row r="173" spans="1:22" x14ac:dyDescent="0.35">
      <c r="A173" s="6" t="s">
        <v>31</v>
      </c>
      <c r="B173" s="6"/>
    </row>
    <row r="174" spans="1:22" x14ac:dyDescent="0.35">
      <c r="B174" t="s">
        <v>29</v>
      </c>
      <c r="U174" t="e">
        <f>SUMPRODUCT(D$1:S$1, D174:S174) / SUM(D174:S174)</f>
        <v>#DIV/0!</v>
      </c>
      <c r="V174">
        <f>SUM(D174:S174)</f>
        <v>0</v>
      </c>
    </row>
    <row r="175" spans="1:22" x14ac:dyDescent="0.35">
      <c r="B175" t="s">
        <v>28</v>
      </c>
      <c r="U175" t="e">
        <f>SUMPRODUCT(D$1:S$1, D175:S175) / SUM(D175:S175)</f>
        <v>#DIV/0!</v>
      </c>
      <c r="V175">
        <f>SUM(D175:S175)</f>
        <v>0</v>
      </c>
    </row>
    <row r="176" spans="1:22" x14ac:dyDescent="0.35">
      <c r="B176" t="s">
        <v>27</v>
      </c>
      <c r="U176" t="e">
        <f>SUMPRODUCT(D$1:S$1, D176:S176) / SUM(D176:S176)</f>
        <v>#DIV/0!</v>
      </c>
      <c r="V176">
        <f>SUM(D176:S176)</f>
        <v>0</v>
      </c>
    </row>
    <row r="177" spans="1:22" x14ac:dyDescent="0.35">
      <c r="B177" t="s">
        <v>26</v>
      </c>
      <c r="U177" t="e">
        <f>SUMPRODUCT(D$1:S$1, D177:S177) / SUM(D177:S177)</f>
        <v>#DIV/0!</v>
      </c>
      <c r="V177">
        <f>SUM(D177:S177)</f>
        <v>0</v>
      </c>
    </row>
    <row r="179" spans="1:22" x14ac:dyDescent="0.35">
      <c r="A179" s="6" t="s">
        <v>30</v>
      </c>
      <c r="B179" s="6"/>
    </row>
    <row r="180" spans="1:22" x14ac:dyDescent="0.35">
      <c r="B180" t="s">
        <v>29</v>
      </c>
      <c r="U180" t="e">
        <f>SUMPRODUCT(D$1:S$1, D180:S180) / SUM(D180:S180)</f>
        <v>#DIV/0!</v>
      </c>
      <c r="V180">
        <f>SUM(D180:S180)</f>
        <v>0</v>
      </c>
    </row>
    <row r="181" spans="1:22" x14ac:dyDescent="0.35">
      <c r="B181" t="s">
        <v>28</v>
      </c>
      <c r="U181" t="e">
        <f>SUMPRODUCT(D$1:S$1, D181:S181) / SUM(D181:S181)</f>
        <v>#DIV/0!</v>
      </c>
      <c r="V181">
        <f>SUM(D181:S181)</f>
        <v>0</v>
      </c>
    </row>
    <row r="182" spans="1:22" x14ac:dyDescent="0.35">
      <c r="B182" t="s">
        <v>27</v>
      </c>
      <c r="U182" t="e">
        <f>SUMPRODUCT(D$1:S$1, D182:S182) / SUM(D182:S182)</f>
        <v>#DIV/0!</v>
      </c>
      <c r="V182">
        <f>SUM(D182:S182)</f>
        <v>0</v>
      </c>
    </row>
    <row r="183" spans="1:22" x14ac:dyDescent="0.35">
      <c r="A183" s="3"/>
      <c r="B183" s="3" t="s">
        <v>26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 t="e">
        <f>SUMPRODUCT(D$1:S$1, D183:S183) / SUM(D183:S183)</f>
        <v>#DIV/0!</v>
      </c>
      <c r="V183" s="3">
        <f>SUM(D183:S183)</f>
        <v>0</v>
      </c>
    </row>
    <row r="184" spans="1:22" ht="15" thickBot="1" x14ac:dyDescent="0.4"/>
    <row r="185" spans="1:22" ht="15.5" thickTop="1" thickBot="1" x14ac:dyDescent="0.4">
      <c r="A185" s="8" t="s">
        <v>50</v>
      </c>
      <c r="B185" s="8" t="s">
        <v>34</v>
      </c>
      <c r="C185" s="8" t="s">
        <v>6</v>
      </c>
      <c r="D185" s="8">
        <v>1</v>
      </c>
      <c r="E185" s="8">
        <v>2</v>
      </c>
      <c r="F185" s="8">
        <v>3</v>
      </c>
      <c r="G185" s="8">
        <v>4</v>
      </c>
      <c r="H185" s="8">
        <v>5</v>
      </c>
      <c r="I185" s="8">
        <v>6</v>
      </c>
      <c r="J185" s="8">
        <v>7</v>
      </c>
      <c r="K185" s="8">
        <v>8</v>
      </c>
      <c r="L185" s="8">
        <v>9</v>
      </c>
      <c r="M185" s="8">
        <v>10</v>
      </c>
      <c r="N185" s="8">
        <v>11</v>
      </c>
      <c r="O185" s="8">
        <v>12</v>
      </c>
      <c r="P185" s="8">
        <v>13</v>
      </c>
      <c r="Q185" s="8">
        <v>14</v>
      </c>
      <c r="R185" s="8">
        <v>15</v>
      </c>
      <c r="S185" s="8">
        <v>16</v>
      </c>
      <c r="T185" s="7"/>
      <c r="U185" s="7"/>
      <c r="V185" s="7"/>
    </row>
    <row r="186" spans="1:22" ht="15" thickTop="1" x14ac:dyDescent="0.35">
      <c r="A186" s="6" t="s">
        <v>33</v>
      </c>
      <c r="B186" s="6"/>
    </row>
    <row r="187" spans="1:22" x14ac:dyDescent="0.35">
      <c r="B187" t="s">
        <v>29</v>
      </c>
      <c r="U187" t="e">
        <f>SUMPRODUCT(D$1:S$1, D187:S187) / SUM(D187:S187)</f>
        <v>#DIV/0!</v>
      </c>
      <c r="V187">
        <f>SUM(D187:S187)</f>
        <v>0</v>
      </c>
    </row>
    <row r="188" spans="1:22" x14ac:dyDescent="0.35">
      <c r="B188" t="s">
        <v>28</v>
      </c>
      <c r="U188" t="e">
        <f>SUMPRODUCT(D$1:S$1, D188:S188) / SUM(D188:S188)</f>
        <v>#DIV/0!</v>
      </c>
      <c r="V188">
        <f>SUM(D188:S188)</f>
        <v>0</v>
      </c>
    </row>
    <row r="189" spans="1:22" x14ac:dyDescent="0.35">
      <c r="B189" t="s">
        <v>27</v>
      </c>
      <c r="U189" t="e">
        <f>SUMPRODUCT(D$1:S$1, D189:S189) / SUM(D189:S189)</f>
        <v>#DIV/0!</v>
      </c>
      <c r="V189">
        <f>SUM(D189:S189)</f>
        <v>0</v>
      </c>
    </row>
    <row r="190" spans="1:22" x14ac:dyDescent="0.35">
      <c r="B190" t="s">
        <v>26</v>
      </c>
      <c r="U190" t="e">
        <f>SUMPRODUCT(D$1:S$1, D190:S190) / SUM(D190:S190)</f>
        <v>#DIV/0!</v>
      </c>
      <c r="V190">
        <f>SUM(D190:S190)</f>
        <v>0</v>
      </c>
    </row>
    <row r="192" spans="1:22" x14ac:dyDescent="0.35">
      <c r="A192" s="6" t="s">
        <v>32</v>
      </c>
      <c r="B192" s="6"/>
    </row>
    <row r="193" spans="1:22" x14ac:dyDescent="0.35">
      <c r="B193" t="s">
        <v>29</v>
      </c>
      <c r="U193" t="e">
        <f>SUMPRODUCT(D$1:S$1, D193:S193) / SUM(D193:S193)</f>
        <v>#DIV/0!</v>
      </c>
      <c r="V193">
        <f>SUM(D193:S193)</f>
        <v>0</v>
      </c>
    </row>
    <row r="194" spans="1:22" x14ac:dyDescent="0.35">
      <c r="B194" t="s">
        <v>28</v>
      </c>
      <c r="U194" t="e">
        <f>SUMPRODUCT(D$1:S$1, D194:S194) / SUM(D194:S194)</f>
        <v>#DIV/0!</v>
      </c>
      <c r="V194">
        <f>SUM(D194:S194)</f>
        <v>0</v>
      </c>
    </row>
    <row r="195" spans="1:22" x14ac:dyDescent="0.35">
      <c r="B195" t="s">
        <v>27</v>
      </c>
      <c r="U195" t="e">
        <f>SUMPRODUCT(D$1:S$1, D195:S195) / SUM(D195:S195)</f>
        <v>#DIV/0!</v>
      </c>
      <c r="V195">
        <f>SUM(D195:S195)</f>
        <v>0</v>
      </c>
    </row>
    <row r="196" spans="1:22" x14ac:dyDescent="0.35">
      <c r="A196" s="3"/>
      <c r="B196" s="3" t="s">
        <v>26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 t="e">
        <f>SUMPRODUCT(D$1:S$1, D196:S196) / SUM(D196:S196)</f>
        <v>#DIV/0!</v>
      </c>
      <c r="V196" s="3">
        <f>SUM(D196:S196)</f>
        <v>0</v>
      </c>
    </row>
    <row r="197" spans="1:22" x14ac:dyDescent="0.35">
      <c r="A197" s="6" t="s">
        <v>31</v>
      </c>
      <c r="B197" s="6"/>
    </row>
    <row r="198" spans="1:22" x14ac:dyDescent="0.35">
      <c r="B198" t="s">
        <v>29</v>
      </c>
      <c r="U198" t="e">
        <f>SUMPRODUCT(D$1:S$1, D198:S198) / SUM(D198:S198)</f>
        <v>#DIV/0!</v>
      </c>
      <c r="V198">
        <f>SUM(D198:S198)</f>
        <v>0</v>
      </c>
    </row>
    <row r="199" spans="1:22" x14ac:dyDescent="0.35">
      <c r="B199" t="s">
        <v>28</v>
      </c>
      <c r="U199" t="e">
        <f>SUMPRODUCT(D$1:S$1, D199:S199) / SUM(D199:S199)</f>
        <v>#DIV/0!</v>
      </c>
      <c r="V199">
        <f>SUM(D199:S199)</f>
        <v>0</v>
      </c>
    </row>
    <row r="200" spans="1:22" x14ac:dyDescent="0.35">
      <c r="B200" t="s">
        <v>27</v>
      </c>
      <c r="U200" t="e">
        <f>SUMPRODUCT(D$1:S$1, D200:S200) / SUM(D200:S200)</f>
        <v>#DIV/0!</v>
      </c>
      <c r="V200">
        <f>SUM(D200:S200)</f>
        <v>0</v>
      </c>
    </row>
    <row r="201" spans="1:22" x14ac:dyDescent="0.35">
      <c r="B201" t="s">
        <v>26</v>
      </c>
      <c r="U201" t="e">
        <f>SUMPRODUCT(D$1:S$1, D201:S201) / SUM(D201:S201)</f>
        <v>#DIV/0!</v>
      </c>
      <c r="V201">
        <f>SUM(D201:S201)</f>
        <v>0</v>
      </c>
    </row>
    <row r="203" spans="1:22" x14ac:dyDescent="0.35">
      <c r="A203" s="6" t="s">
        <v>30</v>
      </c>
      <c r="B203" s="6"/>
    </row>
    <row r="204" spans="1:22" x14ac:dyDescent="0.35">
      <c r="B204" t="s">
        <v>29</v>
      </c>
      <c r="U204" t="e">
        <f>SUMPRODUCT(D$1:S$1, D204:S204) / SUM(D204:S204)</f>
        <v>#DIV/0!</v>
      </c>
      <c r="V204">
        <f>SUM(D204:S204)</f>
        <v>0</v>
      </c>
    </row>
    <row r="205" spans="1:22" x14ac:dyDescent="0.35">
      <c r="B205" t="s">
        <v>28</v>
      </c>
      <c r="U205" t="e">
        <f>SUMPRODUCT(D$1:S$1, D205:S205) / SUM(D205:S205)</f>
        <v>#DIV/0!</v>
      </c>
      <c r="V205">
        <f>SUM(D205:S205)</f>
        <v>0</v>
      </c>
    </row>
    <row r="206" spans="1:22" x14ac:dyDescent="0.35">
      <c r="B206" t="s">
        <v>27</v>
      </c>
      <c r="U206" t="e">
        <f>SUMPRODUCT(D$1:S$1, D206:S206) / SUM(D206:S206)</f>
        <v>#DIV/0!</v>
      </c>
      <c r="V206">
        <f>SUM(D206:S206)</f>
        <v>0</v>
      </c>
    </row>
    <row r="207" spans="1:22" x14ac:dyDescent="0.35">
      <c r="A207" s="3"/>
      <c r="B207" s="3" t="s">
        <v>26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 t="e">
        <f>SUMPRODUCT(D$1:S$1, D207:S207) / SUM(D207:S207)</f>
        <v>#DIV/0!</v>
      </c>
      <c r="V207" s="3">
        <f>SUM(D207:S207)</f>
        <v>0</v>
      </c>
    </row>
    <row r="208" spans="1:22" ht="15" thickBot="1" x14ac:dyDescent="0.4"/>
    <row r="209" spans="1:22" ht="15.5" thickTop="1" thickBot="1" x14ac:dyDescent="0.4">
      <c r="A209" s="8" t="s">
        <v>49</v>
      </c>
      <c r="B209" s="8" t="s">
        <v>34</v>
      </c>
      <c r="C209" s="8" t="s">
        <v>6</v>
      </c>
      <c r="D209" s="8">
        <v>1</v>
      </c>
      <c r="E209" s="8">
        <v>2</v>
      </c>
      <c r="F209" s="8">
        <v>3</v>
      </c>
      <c r="G209" s="8">
        <v>4</v>
      </c>
      <c r="H209" s="8">
        <v>5</v>
      </c>
      <c r="I209" s="8">
        <v>6</v>
      </c>
      <c r="J209" s="8">
        <v>7</v>
      </c>
      <c r="K209" s="8">
        <v>8</v>
      </c>
      <c r="L209" s="8">
        <v>9</v>
      </c>
      <c r="M209" s="8">
        <v>10</v>
      </c>
      <c r="N209" s="8">
        <v>11</v>
      </c>
      <c r="O209" s="8">
        <v>12</v>
      </c>
      <c r="P209" s="8">
        <v>13</v>
      </c>
      <c r="Q209" s="8">
        <v>14</v>
      </c>
      <c r="R209" s="8">
        <v>15</v>
      </c>
      <c r="S209" s="8">
        <v>16</v>
      </c>
      <c r="T209" s="7"/>
      <c r="U209" s="7"/>
      <c r="V209" s="7"/>
    </row>
    <row r="210" spans="1:22" ht="15" thickTop="1" x14ac:dyDescent="0.35">
      <c r="A210" s="6" t="s">
        <v>33</v>
      </c>
      <c r="B210" s="6"/>
    </row>
    <row r="211" spans="1:22" x14ac:dyDescent="0.35">
      <c r="B211" t="s">
        <v>29</v>
      </c>
      <c r="U211" t="e">
        <f>SUMPRODUCT(D$1:S$1, D211:S211) / SUM(D211:S211)</f>
        <v>#DIV/0!</v>
      </c>
      <c r="V211">
        <f>SUM(D211:S211)</f>
        <v>0</v>
      </c>
    </row>
    <row r="212" spans="1:22" x14ac:dyDescent="0.35">
      <c r="B212" t="s">
        <v>28</v>
      </c>
      <c r="U212" t="e">
        <f>SUMPRODUCT(D$1:S$1, D212:S212) / SUM(D212:S212)</f>
        <v>#DIV/0!</v>
      </c>
      <c r="V212">
        <f>SUM(D212:S212)</f>
        <v>0</v>
      </c>
    </row>
    <row r="213" spans="1:22" x14ac:dyDescent="0.35">
      <c r="B213" t="s">
        <v>27</v>
      </c>
      <c r="U213" t="e">
        <f>SUMPRODUCT(D$1:S$1, D213:S213) / SUM(D213:S213)</f>
        <v>#DIV/0!</v>
      </c>
      <c r="V213">
        <f>SUM(D213:S213)</f>
        <v>0</v>
      </c>
    </row>
    <row r="214" spans="1:22" x14ac:dyDescent="0.35">
      <c r="B214" t="s">
        <v>26</v>
      </c>
      <c r="U214" t="e">
        <f>SUMPRODUCT(D$1:S$1, D214:S214) / SUM(D214:S214)</f>
        <v>#DIV/0!</v>
      </c>
      <c r="V214">
        <f>SUM(D214:S214)</f>
        <v>0</v>
      </c>
    </row>
    <row r="216" spans="1:22" x14ac:dyDescent="0.35">
      <c r="A216" s="6" t="s">
        <v>32</v>
      </c>
      <c r="B216" s="6"/>
    </row>
    <row r="217" spans="1:22" x14ac:dyDescent="0.35">
      <c r="B217" t="s">
        <v>29</v>
      </c>
      <c r="U217" t="e">
        <f>SUMPRODUCT(D$1:S$1, D217:S217) / SUM(D217:S217)</f>
        <v>#DIV/0!</v>
      </c>
      <c r="V217">
        <f>SUM(D217:S217)</f>
        <v>0</v>
      </c>
    </row>
    <row r="218" spans="1:22" x14ac:dyDescent="0.35">
      <c r="B218" t="s">
        <v>28</v>
      </c>
      <c r="U218" t="e">
        <f>SUMPRODUCT(D$1:S$1, D218:S218) / SUM(D218:S218)</f>
        <v>#DIV/0!</v>
      </c>
      <c r="V218">
        <f>SUM(D218:S218)</f>
        <v>0</v>
      </c>
    </row>
    <row r="219" spans="1:22" x14ac:dyDescent="0.35">
      <c r="B219" t="s">
        <v>27</v>
      </c>
      <c r="U219" t="e">
        <f>SUMPRODUCT(D$1:S$1, D219:S219) / SUM(D219:S219)</f>
        <v>#DIV/0!</v>
      </c>
      <c r="V219">
        <f>SUM(D219:S219)</f>
        <v>0</v>
      </c>
    </row>
    <row r="220" spans="1:22" x14ac:dyDescent="0.35">
      <c r="A220" s="3"/>
      <c r="B220" s="3" t="s">
        <v>26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 t="e">
        <f>SUMPRODUCT(D$1:S$1, D220:S220) / SUM(D220:S220)</f>
        <v>#DIV/0!</v>
      </c>
      <c r="V220" s="3">
        <f>SUM(D220:S220)</f>
        <v>0</v>
      </c>
    </row>
    <row r="221" spans="1:22" x14ac:dyDescent="0.35">
      <c r="A221" s="6" t="s">
        <v>31</v>
      </c>
      <c r="B221" s="6"/>
    </row>
    <row r="222" spans="1:22" x14ac:dyDescent="0.35">
      <c r="B222" t="s">
        <v>29</v>
      </c>
      <c r="U222" t="e">
        <f>SUMPRODUCT(D$1:S$1, D222:S222) / SUM(D222:S222)</f>
        <v>#DIV/0!</v>
      </c>
      <c r="V222">
        <f>SUM(D222:S222)</f>
        <v>0</v>
      </c>
    </row>
    <row r="223" spans="1:22" x14ac:dyDescent="0.35">
      <c r="B223" t="s">
        <v>28</v>
      </c>
      <c r="U223" t="e">
        <f>SUMPRODUCT(D$1:S$1, D223:S223) / SUM(D223:S223)</f>
        <v>#DIV/0!</v>
      </c>
      <c r="V223">
        <f>SUM(D223:S223)</f>
        <v>0</v>
      </c>
    </row>
    <row r="224" spans="1:22" x14ac:dyDescent="0.35">
      <c r="B224" t="s">
        <v>27</v>
      </c>
      <c r="U224" t="e">
        <f>SUMPRODUCT(D$1:S$1, D224:S224) / SUM(D224:S224)</f>
        <v>#DIV/0!</v>
      </c>
      <c r="V224">
        <f>SUM(D224:S224)</f>
        <v>0</v>
      </c>
    </row>
    <row r="225" spans="1:22" x14ac:dyDescent="0.35">
      <c r="B225" t="s">
        <v>26</v>
      </c>
      <c r="U225" t="e">
        <f>SUMPRODUCT(D$1:S$1, D225:S225) / SUM(D225:S225)</f>
        <v>#DIV/0!</v>
      </c>
      <c r="V225">
        <f>SUM(D225:S225)</f>
        <v>0</v>
      </c>
    </row>
    <row r="227" spans="1:22" x14ac:dyDescent="0.35">
      <c r="A227" s="6" t="s">
        <v>30</v>
      </c>
      <c r="B227" s="6"/>
    </row>
    <row r="228" spans="1:22" x14ac:dyDescent="0.35">
      <c r="B228" t="s">
        <v>29</v>
      </c>
      <c r="U228" t="e">
        <f>SUMPRODUCT(D$1:S$1, D228:S228) / SUM(D228:S228)</f>
        <v>#DIV/0!</v>
      </c>
      <c r="V228">
        <f>SUM(D228:S228)</f>
        <v>0</v>
      </c>
    </row>
    <row r="229" spans="1:22" x14ac:dyDescent="0.35">
      <c r="B229" t="s">
        <v>28</v>
      </c>
      <c r="U229" t="e">
        <f>SUMPRODUCT(D$1:S$1, D229:S229) / SUM(D229:S229)</f>
        <v>#DIV/0!</v>
      </c>
      <c r="V229">
        <f>SUM(D229:S229)</f>
        <v>0</v>
      </c>
    </row>
    <row r="230" spans="1:22" x14ac:dyDescent="0.35">
      <c r="B230" t="s">
        <v>27</v>
      </c>
      <c r="U230" t="e">
        <f>SUMPRODUCT(D$1:S$1, D230:S230) / SUM(D230:S230)</f>
        <v>#DIV/0!</v>
      </c>
      <c r="V230">
        <f>SUM(D230:S230)</f>
        <v>0</v>
      </c>
    </row>
    <row r="231" spans="1:22" x14ac:dyDescent="0.35">
      <c r="A231" s="3"/>
      <c r="B231" s="3" t="s">
        <v>26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 t="e">
        <f>SUMPRODUCT(D$1:S$1, D231:S231) / SUM(D231:S231)</f>
        <v>#DIV/0!</v>
      </c>
      <c r="V231" s="3">
        <f>SUM(D231:S231)</f>
        <v>0</v>
      </c>
    </row>
    <row r="232" spans="1:22" ht="15" thickBot="1" x14ac:dyDescent="0.4"/>
    <row r="233" spans="1:22" ht="15.5" thickTop="1" thickBot="1" x14ac:dyDescent="0.4">
      <c r="A233" s="8" t="s">
        <v>48</v>
      </c>
      <c r="B233" s="8" t="s">
        <v>34</v>
      </c>
      <c r="C233" s="8" t="s">
        <v>6</v>
      </c>
      <c r="D233" s="8">
        <v>1</v>
      </c>
      <c r="E233" s="8">
        <v>2</v>
      </c>
      <c r="F233" s="8">
        <v>3</v>
      </c>
      <c r="G233" s="8">
        <v>4</v>
      </c>
      <c r="H233" s="8">
        <v>5</v>
      </c>
      <c r="I233" s="8">
        <v>6</v>
      </c>
      <c r="J233" s="8">
        <v>7</v>
      </c>
      <c r="K233" s="8">
        <v>8</v>
      </c>
      <c r="L233" s="8">
        <v>9</v>
      </c>
      <c r="M233" s="8">
        <v>10</v>
      </c>
      <c r="N233" s="8">
        <v>11</v>
      </c>
      <c r="O233" s="8">
        <v>12</v>
      </c>
      <c r="P233" s="8">
        <v>13</v>
      </c>
      <c r="Q233" s="8">
        <v>14</v>
      </c>
      <c r="R233" s="8">
        <v>15</v>
      </c>
      <c r="S233" s="8">
        <v>16</v>
      </c>
      <c r="T233" s="7"/>
      <c r="U233" s="7"/>
      <c r="V233" s="7"/>
    </row>
    <row r="234" spans="1:22" ht="15" thickTop="1" x14ac:dyDescent="0.35">
      <c r="A234" s="6" t="s">
        <v>33</v>
      </c>
      <c r="B234" s="6"/>
    </row>
    <row r="235" spans="1:22" x14ac:dyDescent="0.35">
      <c r="B235" t="s">
        <v>29</v>
      </c>
      <c r="U235" t="e">
        <f>SUMPRODUCT(D$1:S$1, D235:S235) / SUM(D235:S235)</f>
        <v>#DIV/0!</v>
      </c>
      <c r="V235">
        <f>SUM(D235:S235)</f>
        <v>0</v>
      </c>
    </row>
    <row r="236" spans="1:22" x14ac:dyDescent="0.35">
      <c r="B236" t="s">
        <v>28</v>
      </c>
      <c r="U236" t="e">
        <f>SUMPRODUCT(D$1:S$1, D236:S236) / SUM(D236:S236)</f>
        <v>#DIV/0!</v>
      </c>
      <c r="V236">
        <f>SUM(D236:S236)</f>
        <v>0</v>
      </c>
    </row>
    <row r="237" spans="1:22" x14ac:dyDescent="0.35">
      <c r="B237" t="s">
        <v>27</v>
      </c>
      <c r="U237" t="e">
        <f>SUMPRODUCT(D$1:S$1, D237:S237) / SUM(D237:S237)</f>
        <v>#DIV/0!</v>
      </c>
      <c r="V237">
        <f>SUM(D237:S237)</f>
        <v>0</v>
      </c>
    </row>
    <row r="238" spans="1:22" x14ac:dyDescent="0.35">
      <c r="B238" t="s">
        <v>26</v>
      </c>
      <c r="U238" t="e">
        <f>SUMPRODUCT(D$1:S$1, D238:S238) / SUM(D238:S238)</f>
        <v>#DIV/0!</v>
      </c>
      <c r="V238">
        <f>SUM(D238:S238)</f>
        <v>0</v>
      </c>
    </row>
    <row r="240" spans="1:22" x14ac:dyDescent="0.35">
      <c r="A240" s="6" t="s">
        <v>32</v>
      </c>
      <c r="B240" s="6"/>
    </row>
    <row r="241" spans="1:22" x14ac:dyDescent="0.35">
      <c r="B241" t="s">
        <v>29</v>
      </c>
      <c r="U241" t="e">
        <f>SUMPRODUCT(D$1:S$1, D241:S241) / SUM(D241:S241)</f>
        <v>#DIV/0!</v>
      </c>
      <c r="V241">
        <f>SUM(D241:S241)</f>
        <v>0</v>
      </c>
    </row>
    <row r="242" spans="1:22" x14ac:dyDescent="0.35">
      <c r="B242" t="s">
        <v>28</v>
      </c>
      <c r="U242" t="e">
        <f>SUMPRODUCT(D$1:S$1, D242:S242) / SUM(D242:S242)</f>
        <v>#DIV/0!</v>
      </c>
      <c r="V242">
        <f>SUM(D242:S242)</f>
        <v>0</v>
      </c>
    </row>
    <row r="243" spans="1:22" x14ac:dyDescent="0.35">
      <c r="B243" t="s">
        <v>27</v>
      </c>
      <c r="U243" t="e">
        <f>SUMPRODUCT(D$1:S$1, D243:S243) / SUM(D243:S243)</f>
        <v>#DIV/0!</v>
      </c>
      <c r="V243">
        <f>SUM(D243:S243)</f>
        <v>0</v>
      </c>
    </row>
    <row r="244" spans="1:22" x14ac:dyDescent="0.35">
      <c r="A244" s="3"/>
      <c r="B244" s="3" t="s">
        <v>26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 t="e">
        <f>SUMPRODUCT(D$1:S$1, D244:S244) / SUM(D244:S244)</f>
        <v>#DIV/0!</v>
      </c>
      <c r="V244" s="3">
        <f>SUM(D244:S244)</f>
        <v>0</v>
      </c>
    </row>
    <row r="245" spans="1:22" x14ac:dyDescent="0.35">
      <c r="A245" s="6" t="s">
        <v>31</v>
      </c>
      <c r="B245" s="6"/>
    </row>
    <row r="246" spans="1:22" x14ac:dyDescent="0.35">
      <c r="B246" t="s">
        <v>29</v>
      </c>
      <c r="U246" t="e">
        <f>SUMPRODUCT(D$1:S$1, D246:S246) / SUM(D246:S246)</f>
        <v>#DIV/0!</v>
      </c>
      <c r="V246">
        <f>SUM(D246:S246)</f>
        <v>0</v>
      </c>
    </row>
    <row r="247" spans="1:22" x14ac:dyDescent="0.35">
      <c r="B247" t="s">
        <v>28</v>
      </c>
      <c r="U247" t="e">
        <f>SUMPRODUCT(D$1:S$1, D247:S247) / SUM(D247:S247)</f>
        <v>#DIV/0!</v>
      </c>
      <c r="V247">
        <f>SUM(D247:S247)</f>
        <v>0</v>
      </c>
    </row>
    <row r="248" spans="1:22" x14ac:dyDescent="0.35">
      <c r="B248" t="s">
        <v>27</v>
      </c>
      <c r="U248" t="e">
        <f>SUMPRODUCT(D$1:S$1, D248:S248) / SUM(D248:S248)</f>
        <v>#DIV/0!</v>
      </c>
      <c r="V248">
        <f>SUM(D248:S248)</f>
        <v>0</v>
      </c>
    </row>
    <row r="249" spans="1:22" x14ac:dyDescent="0.35">
      <c r="B249" t="s">
        <v>26</v>
      </c>
      <c r="U249" t="e">
        <f>SUMPRODUCT(D$1:S$1, D249:S249) / SUM(D249:S249)</f>
        <v>#DIV/0!</v>
      </c>
      <c r="V249">
        <f>SUM(D249:S249)</f>
        <v>0</v>
      </c>
    </row>
    <row r="251" spans="1:22" x14ac:dyDescent="0.35">
      <c r="A251" s="6" t="s">
        <v>30</v>
      </c>
      <c r="B251" s="6"/>
    </row>
    <row r="252" spans="1:22" x14ac:dyDescent="0.35">
      <c r="B252" t="s">
        <v>29</v>
      </c>
      <c r="U252" t="e">
        <f>SUMPRODUCT(D$1:S$1, D252:S252) / SUM(D252:S252)</f>
        <v>#DIV/0!</v>
      </c>
      <c r="V252">
        <f>SUM(D252:S252)</f>
        <v>0</v>
      </c>
    </row>
    <row r="253" spans="1:22" x14ac:dyDescent="0.35">
      <c r="B253" t="s">
        <v>28</v>
      </c>
      <c r="U253" t="e">
        <f>SUMPRODUCT(D$1:S$1, D253:S253) / SUM(D253:S253)</f>
        <v>#DIV/0!</v>
      </c>
      <c r="V253">
        <f>SUM(D253:S253)</f>
        <v>0</v>
      </c>
    </row>
    <row r="254" spans="1:22" x14ac:dyDescent="0.35">
      <c r="B254" t="s">
        <v>27</v>
      </c>
      <c r="U254" t="e">
        <f>SUMPRODUCT(D$1:S$1, D254:S254) / SUM(D254:S254)</f>
        <v>#DIV/0!</v>
      </c>
      <c r="V254">
        <f>SUM(D254:S254)</f>
        <v>0</v>
      </c>
    </row>
    <row r="255" spans="1:22" x14ac:dyDescent="0.35">
      <c r="A255" s="3"/>
      <c r="B255" s="3" t="s">
        <v>26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 t="e">
        <f>SUMPRODUCT(D$1:S$1, D255:S255) / SUM(D255:S255)</f>
        <v>#DIV/0!</v>
      </c>
      <c r="V255" s="3">
        <f>SUM(D255:S255)</f>
        <v>0</v>
      </c>
    </row>
    <row r="256" spans="1:22" ht="15" thickBot="1" x14ac:dyDescent="0.4"/>
    <row r="257" spans="1:22" ht="15.5" thickTop="1" thickBot="1" x14ac:dyDescent="0.4">
      <c r="A257" s="8" t="s">
        <v>47</v>
      </c>
      <c r="B257" s="8" t="s">
        <v>34</v>
      </c>
      <c r="C257" s="8" t="s">
        <v>6</v>
      </c>
      <c r="D257" s="8">
        <v>1</v>
      </c>
      <c r="E257" s="8">
        <v>2</v>
      </c>
      <c r="F257" s="8">
        <v>3</v>
      </c>
      <c r="G257" s="8">
        <v>4</v>
      </c>
      <c r="H257" s="8">
        <v>5</v>
      </c>
      <c r="I257" s="8">
        <v>6</v>
      </c>
      <c r="J257" s="8">
        <v>7</v>
      </c>
      <c r="K257" s="8">
        <v>8</v>
      </c>
      <c r="L257" s="8">
        <v>9</v>
      </c>
      <c r="M257" s="8">
        <v>10</v>
      </c>
      <c r="N257" s="8">
        <v>11</v>
      </c>
      <c r="O257" s="8">
        <v>12</v>
      </c>
      <c r="P257" s="8">
        <v>13</v>
      </c>
      <c r="Q257" s="8">
        <v>14</v>
      </c>
      <c r="R257" s="8">
        <v>15</v>
      </c>
      <c r="S257" s="8">
        <v>16</v>
      </c>
      <c r="T257" s="7"/>
      <c r="U257" s="7"/>
      <c r="V257" s="7"/>
    </row>
    <row r="258" spans="1:22" ht="15" thickTop="1" x14ac:dyDescent="0.35">
      <c r="A258" s="6" t="s">
        <v>33</v>
      </c>
      <c r="B258" s="6"/>
    </row>
    <row r="259" spans="1:22" x14ac:dyDescent="0.35">
      <c r="B259" t="s">
        <v>29</v>
      </c>
      <c r="U259" t="e">
        <f>SUMPRODUCT(D$1:S$1, D259:S259) / SUM(D259:S259)</f>
        <v>#DIV/0!</v>
      </c>
      <c r="V259">
        <f>SUM(D259:S259)</f>
        <v>0</v>
      </c>
    </row>
    <row r="260" spans="1:22" x14ac:dyDescent="0.35">
      <c r="B260" t="s">
        <v>28</v>
      </c>
      <c r="U260" t="e">
        <f>SUMPRODUCT(D$1:S$1, D260:S260) / SUM(D260:S260)</f>
        <v>#DIV/0!</v>
      </c>
      <c r="V260">
        <f>SUM(D260:S260)</f>
        <v>0</v>
      </c>
    </row>
    <row r="261" spans="1:22" x14ac:dyDescent="0.35">
      <c r="B261" t="s">
        <v>27</v>
      </c>
      <c r="U261" t="e">
        <f>SUMPRODUCT(D$1:S$1, D261:S261) / SUM(D261:S261)</f>
        <v>#DIV/0!</v>
      </c>
      <c r="V261">
        <f>SUM(D261:S261)</f>
        <v>0</v>
      </c>
    </row>
    <row r="262" spans="1:22" x14ac:dyDescent="0.35">
      <c r="B262" t="s">
        <v>26</v>
      </c>
      <c r="U262" t="e">
        <f>SUMPRODUCT(D$1:S$1, D262:S262) / SUM(D262:S262)</f>
        <v>#DIV/0!</v>
      </c>
      <c r="V262">
        <f>SUM(D262:S262)</f>
        <v>0</v>
      </c>
    </row>
    <row r="264" spans="1:22" x14ac:dyDescent="0.35">
      <c r="A264" s="6" t="s">
        <v>32</v>
      </c>
      <c r="B264" s="6"/>
    </row>
    <row r="265" spans="1:22" x14ac:dyDescent="0.35">
      <c r="B265" t="s">
        <v>29</v>
      </c>
      <c r="U265" t="e">
        <f>SUMPRODUCT(D$1:S$1, D265:S265) / SUM(D265:S265)</f>
        <v>#DIV/0!</v>
      </c>
      <c r="V265">
        <f>SUM(D265:S265)</f>
        <v>0</v>
      </c>
    </row>
    <row r="266" spans="1:22" x14ac:dyDescent="0.35">
      <c r="B266" t="s">
        <v>28</v>
      </c>
      <c r="U266" t="e">
        <f>SUMPRODUCT(D$1:S$1, D266:S266) / SUM(D266:S266)</f>
        <v>#DIV/0!</v>
      </c>
      <c r="V266">
        <f>SUM(D266:S266)</f>
        <v>0</v>
      </c>
    </row>
    <row r="267" spans="1:22" x14ac:dyDescent="0.35">
      <c r="B267" t="s">
        <v>27</v>
      </c>
      <c r="U267" t="e">
        <f>SUMPRODUCT(D$1:S$1, D267:S267) / SUM(D267:S267)</f>
        <v>#DIV/0!</v>
      </c>
      <c r="V267">
        <f>SUM(D267:S267)</f>
        <v>0</v>
      </c>
    </row>
    <row r="268" spans="1:22" x14ac:dyDescent="0.35">
      <c r="A268" s="3"/>
      <c r="B268" s="3" t="s">
        <v>26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 t="e">
        <f>SUMPRODUCT(D$1:S$1, D268:S268) / SUM(D268:S268)</f>
        <v>#DIV/0!</v>
      </c>
      <c r="V268" s="3">
        <f>SUM(D268:S268)</f>
        <v>0</v>
      </c>
    </row>
    <row r="269" spans="1:22" x14ac:dyDescent="0.35">
      <c r="A269" s="6" t="s">
        <v>31</v>
      </c>
      <c r="B269" s="6"/>
    </row>
    <row r="270" spans="1:22" x14ac:dyDescent="0.35">
      <c r="B270" t="s">
        <v>29</v>
      </c>
      <c r="U270" t="e">
        <f>SUMPRODUCT(D$1:S$1, D270:S270) / SUM(D270:S270)</f>
        <v>#DIV/0!</v>
      </c>
      <c r="V270">
        <f>SUM(D270:S270)</f>
        <v>0</v>
      </c>
    </row>
    <row r="271" spans="1:22" x14ac:dyDescent="0.35">
      <c r="B271" t="s">
        <v>28</v>
      </c>
      <c r="U271" t="e">
        <f>SUMPRODUCT(D$1:S$1, D271:S271) / SUM(D271:S271)</f>
        <v>#DIV/0!</v>
      </c>
      <c r="V271">
        <f>SUM(D271:S271)</f>
        <v>0</v>
      </c>
    </row>
    <row r="272" spans="1:22" x14ac:dyDescent="0.35">
      <c r="B272" t="s">
        <v>27</v>
      </c>
      <c r="U272" t="e">
        <f>SUMPRODUCT(D$1:S$1, D272:S272) / SUM(D272:S272)</f>
        <v>#DIV/0!</v>
      </c>
      <c r="V272">
        <f>SUM(D272:S272)</f>
        <v>0</v>
      </c>
    </row>
    <row r="273" spans="1:22" x14ac:dyDescent="0.35">
      <c r="B273" t="s">
        <v>26</v>
      </c>
      <c r="U273" t="e">
        <f>SUMPRODUCT(D$1:S$1, D273:S273) / SUM(D273:S273)</f>
        <v>#DIV/0!</v>
      </c>
      <c r="V273">
        <f>SUM(D273:S273)</f>
        <v>0</v>
      </c>
    </row>
    <row r="275" spans="1:22" x14ac:dyDescent="0.35">
      <c r="A275" s="6" t="s">
        <v>30</v>
      </c>
      <c r="B275" s="6"/>
    </row>
    <row r="276" spans="1:22" x14ac:dyDescent="0.35">
      <c r="B276" t="s">
        <v>29</v>
      </c>
      <c r="U276" t="e">
        <f>SUMPRODUCT(D$1:S$1, D276:S276) / SUM(D276:S276)</f>
        <v>#DIV/0!</v>
      </c>
      <c r="V276">
        <f>SUM(D276:S276)</f>
        <v>0</v>
      </c>
    </row>
    <row r="277" spans="1:22" x14ac:dyDescent="0.35">
      <c r="B277" t="s">
        <v>28</v>
      </c>
      <c r="U277" t="e">
        <f>SUMPRODUCT(D$1:S$1, D277:S277) / SUM(D277:S277)</f>
        <v>#DIV/0!</v>
      </c>
      <c r="V277">
        <f>SUM(D277:S277)</f>
        <v>0</v>
      </c>
    </row>
    <row r="278" spans="1:22" x14ac:dyDescent="0.35">
      <c r="B278" t="s">
        <v>27</v>
      </c>
      <c r="U278" t="e">
        <f>SUMPRODUCT(D$1:S$1, D278:S278) / SUM(D278:S278)</f>
        <v>#DIV/0!</v>
      </c>
      <c r="V278">
        <f>SUM(D278:S278)</f>
        <v>0</v>
      </c>
    </row>
    <row r="279" spans="1:22" x14ac:dyDescent="0.35">
      <c r="B279" t="s">
        <v>26</v>
      </c>
      <c r="U279" t="e">
        <f>SUMPRODUCT(D$1:S$1, D279:S279) / SUM(D279:S279)</f>
        <v>#DIV/0!</v>
      </c>
      <c r="V279">
        <f>SUM(D279:S279)</f>
        <v>0</v>
      </c>
    </row>
    <row r="281" spans="1:22" x14ac:dyDescent="0.35">
      <c r="A281" s="6" t="s">
        <v>46</v>
      </c>
      <c r="B281" s="6" t="s">
        <v>45</v>
      </c>
    </row>
    <row r="282" spans="1:22" x14ac:dyDescent="0.35">
      <c r="B282" t="s">
        <v>29</v>
      </c>
      <c r="C282" t="s">
        <v>2</v>
      </c>
      <c r="U282" t="e">
        <f>SUMPRODUCT(D$1:S$1, D282:S282) / SUM(D282:S282)</f>
        <v>#DIV/0!</v>
      </c>
      <c r="V282">
        <f>SUM(D282:S282)</f>
        <v>0</v>
      </c>
    </row>
    <row r="283" spans="1:22" x14ac:dyDescent="0.35">
      <c r="B283" t="s">
        <v>28</v>
      </c>
      <c r="C283" t="s">
        <v>0</v>
      </c>
      <c r="U283" t="e">
        <f>SUMPRODUCT(D$1:S$1, D283:S283) / SUM(D283:S283)</f>
        <v>#DIV/0!</v>
      </c>
      <c r="V283">
        <f>SUM(D283:S283)</f>
        <v>0</v>
      </c>
    </row>
    <row r="285" spans="1:22" x14ac:dyDescent="0.35">
      <c r="B285" s="6" t="s">
        <v>44</v>
      </c>
    </row>
    <row r="286" spans="1:22" x14ac:dyDescent="0.35">
      <c r="B286" t="s">
        <v>27</v>
      </c>
      <c r="C286" t="s">
        <v>0</v>
      </c>
      <c r="U286" t="e">
        <f>SUMPRODUCT(D$1:S$1, D286:S286) / SUM(D286:S286)</f>
        <v>#DIV/0!</v>
      </c>
      <c r="V286">
        <f>SUM(D286:S286)</f>
        <v>0</v>
      </c>
    </row>
    <row r="287" spans="1:22" x14ac:dyDescent="0.35">
      <c r="B287" t="s">
        <v>26</v>
      </c>
      <c r="C287" t="s">
        <v>2</v>
      </c>
      <c r="U287" t="e">
        <f>SUMPRODUCT(D$1:S$1, D287:S287) / SUM(D287:S287)</f>
        <v>#DIV/0!</v>
      </c>
      <c r="V287">
        <f>SUM(D287:S287)</f>
        <v>0</v>
      </c>
    </row>
    <row r="289" spans="1:22" x14ac:dyDescent="0.35">
      <c r="A289" s="6" t="s">
        <v>43</v>
      </c>
      <c r="B289" s="6" t="s">
        <v>42</v>
      </c>
    </row>
    <row r="290" spans="1:22" x14ac:dyDescent="0.35">
      <c r="B290" t="s">
        <v>29</v>
      </c>
      <c r="C290" t="s">
        <v>2</v>
      </c>
      <c r="U290" t="e">
        <f>SUMPRODUCT(D$1:S$1, D290:S290) / SUM(D290:S290)</f>
        <v>#DIV/0!</v>
      </c>
      <c r="V290">
        <f>SUM(D290:S290)</f>
        <v>0</v>
      </c>
    </row>
    <row r="291" spans="1:22" x14ac:dyDescent="0.35">
      <c r="B291" t="s">
        <v>28</v>
      </c>
      <c r="C291" t="s">
        <v>0</v>
      </c>
      <c r="U291" t="e">
        <f>SUMPRODUCT(D$1:S$1, D291:S291) / SUM(D291:S291)</f>
        <v>#DIV/0!</v>
      </c>
      <c r="V291">
        <f>SUM(D291:S291)</f>
        <v>0</v>
      </c>
    </row>
    <row r="293" spans="1:22" x14ac:dyDescent="0.35">
      <c r="B293" s="6" t="s">
        <v>41</v>
      </c>
    </row>
    <row r="294" spans="1:22" x14ac:dyDescent="0.35">
      <c r="B294" t="s">
        <v>27</v>
      </c>
      <c r="C294" t="s">
        <v>0</v>
      </c>
      <c r="U294" t="e">
        <f>SUMPRODUCT(D$1:S$1, D294:S294) / SUM(D294:S294)</f>
        <v>#DIV/0!</v>
      </c>
      <c r="V294">
        <f>SUM(D294:S294)</f>
        <v>0</v>
      </c>
    </row>
    <row r="295" spans="1:22" s="3" customFormat="1" x14ac:dyDescent="0.35">
      <c r="B295" s="3" t="s">
        <v>26</v>
      </c>
      <c r="C295" s="3" t="s">
        <v>2</v>
      </c>
      <c r="U295" s="3" t="e">
        <f>SUMPRODUCT(D$1:S$1, D295:S295) / SUM(D295:S295)</f>
        <v>#DIV/0!</v>
      </c>
      <c r="V295" s="3">
        <f>SUM(D295:S295)</f>
        <v>0</v>
      </c>
    </row>
    <row r="296" spans="1:22" ht="15" thickBot="1" x14ac:dyDescent="0.4"/>
    <row r="297" spans="1:22" ht="15.5" thickTop="1" thickBot="1" x14ac:dyDescent="0.4">
      <c r="A297" s="8" t="s">
        <v>40</v>
      </c>
      <c r="B297" s="8" t="s">
        <v>34</v>
      </c>
      <c r="C297" s="8" t="s">
        <v>6</v>
      </c>
      <c r="D297" s="8">
        <v>1</v>
      </c>
      <c r="E297" s="8">
        <v>2</v>
      </c>
      <c r="F297" s="8">
        <v>3</v>
      </c>
      <c r="G297" s="8">
        <v>4</v>
      </c>
      <c r="H297" s="8">
        <v>5</v>
      </c>
      <c r="I297" s="8">
        <v>6</v>
      </c>
      <c r="J297" s="8">
        <v>7</v>
      </c>
      <c r="K297" s="8">
        <v>8</v>
      </c>
      <c r="L297" s="8">
        <v>9</v>
      </c>
      <c r="M297" s="8">
        <v>10</v>
      </c>
      <c r="N297" s="8">
        <v>11</v>
      </c>
      <c r="O297" s="8">
        <v>12</v>
      </c>
      <c r="P297" s="8">
        <v>13</v>
      </c>
      <c r="Q297" s="8">
        <v>14</v>
      </c>
      <c r="R297" s="8">
        <v>15</v>
      </c>
      <c r="S297" s="8">
        <v>16</v>
      </c>
      <c r="T297" s="7"/>
      <c r="U297" s="7"/>
      <c r="V297" s="7"/>
    </row>
    <row r="298" spans="1:22" ht="15" thickTop="1" x14ac:dyDescent="0.35">
      <c r="A298" s="6" t="s">
        <v>33</v>
      </c>
      <c r="B298" s="6"/>
    </row>
    <row r="299" spans="1:22" x14ac:dyDescent="0.35">
      <c r="B299" t="s">
        <v>29</v>
      </c>
      <c r="U299" t="e">
        <f>SUMPRODUCT(D$1:S$1, D299:S299) / SUM(D299:S299)</f>
        <v>#DIV/0!</v>
      </c>
      <c r="V299">
        <f>SUM(D299:S299)</f>
        <v>0</v>
      </c>
    </row>
    <row r="300" spans="1:22" x14ac:dyDescent="0.35">
      <c r="B300" t="s">
        <v>28</v>
      </c>
      <c r="U300" t="e">
        <f>SUMPRODUCT(D$1:S$1, D300:S300) / SUM(D300:S300)</f>
        <v>#DIV/0!</v>
      </c>
      <c r="V300">
        <f>SUM(D300:S300)</f>
        <v>0</v>
      </c>
    </row>
    <row r="301" spans="1:22" x14ac:dyDescent="0.35">
      <c r="B301" t="s">
        <v>27</v>
      </c>
      <c r="U301" t="e">
        <f>SUMPRODUCT(D$1:S$1, D301:S301) / SUM(D301:S301)</f>
        <v>#DIV/0!</v>
      </c>
      <c r="V301">
        <f>SUM(D301:S301)</f>
        <v>0</v>
      </c>
    </row>
    <row r="302" spans="1:22" x14ac:dyDescent="0.35">
      <c r="B302" t="s">
        <v>26</v>
      </c>
      <c r="U302" t="e">
        <f>SUMPRODUCT(D$1:S$1, D302:S302) / SUM(D302:S302)</f>
        <v>#DIV/0!</v>
      </c>
      <c r="V302">
        <f>SUM(D302:S302)</f>
        <v>0</v>
      </c>
    </row>
    <row r="304" spans="1:22" x14ac:dyDescent="0.35">
      <c r="A304" s="6" t="s">
        <v>32</v>
      </c>
      <c r="B304" s="6"/>
    </row>
    <row r="305" spans="1:22" x14ac:dyDescent="0.35">
      <c r="B305" t="s">
        <v>29</v>
      </c>
      <c r="U305" t="e">
        <f>SUMPRODUCT(D$1:S$1, D305:S305) / SUM(D305:S305)</f>
        <v>#DIV/0!</v>
      </c>
      <c r="V305">
        <f>SUM(D305:S305)</f>
        <v>0</v>
      </c>
    </row>
    <row r="306" spans="1:22" x14ac:dyDescent="0.35">
      <c r="B306" t="s">
        <v>28</v>
      </c>
      <c r="U306" t="e">
        <f>SUMPRODUCT(D$1:S$1, D306:S306) / SUM(D306:S306)</f>
        <v>#DIV/0!</v>
      </c>
      <c r="V306">
        <f>SUM(D306:S306)</f>
        <v>0</v>
      </c>
    </row>
    <row r="307" spans="1:22" x14ac:dyDescent="0.35">
      <c r="B307" t="s">
        <v>27</v>
      </c>
      <c r="U307" t="e">
        <f>SUMPRODUCT(D$1:S$1, D307:S307) / SUM(D307:S307)</f>
        <v>#DIV/0!</v>
      </c>
      <c r="V307">
        <f>SUM(D307:S307)</f>
        <v>0</v>
      </c>
    </row>
    <row r="308" spans="1:22" x14ac:dyDescent="0.35">
      <c r="A308" s="3"/>
      <c r="B308" s="3" t="s">
        <v>26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 t="e">
        <f>SUMPRODUCT(D$1:S$1, D308:S308) / SUM(D308:S308)</f>
        <v>#DIV/0!</v>
      </c>
      <c r="V308" s="3">
        <f>SUM(D308:S308)</f>
        <v>0</v>
      </c>
    </row>
    <row r="309" spans="1:22" x14ac:dyDescent="0.35">
      <c r="A309" s="6" t="s">
        <v>31</v>
      </c>
      <c r="B309" s="6"/>
    </row>
    <row r="310" spans="1:22" x14ac:dyDescent="0.35">
      <c r="B310" t="s">
        <v>29</v>
      </c>
      <c r="U310" t="e">
        <f>SUMPRODUCT(D$1:S$1, D310:S310) / SUM(D310:S310)</f>
        <v>#DIV/0!</v>
      </c>
      <c r="V310">
        <f>SUM(D310:S310)</f>
        <v>0</v>
      </c>
    </row>
    <row r="311" spans="1:22" x14ac:dyDescent="0.35">
      <c r="B311" t="s">
        <v>28</v>
      </c>
      <c r="U311" t="e">
        <f>SUMPRODUCT(D$1:S$1, D311:S311) / SUM(D311:S311)</f>
        <v>#DIV/0!</v>
      </c>
      <c r="V311">
        <f>SUM(D311:S311)</f>
        <v>0</v>
      </c>
    </row>
    <row r="312" spans="1:22" x14ac:dyDescent="0.35">
      <c r="B312" t="s">
        <v>27</v>
      </c>
      <c r="U312" t="e">
        <f>SUMPRODUCT(D$1:S$1, D312:S312) / SUM(D312:S312)</f>
        <v>#DIV/0!</v>
      </c>
      <c r="V312">
        <f>SUM(D312:S312)</f>
        <v>0</v>
      </c>
    </row>
    <row r="313" spans="1:22" x14ac:dyDescent="0.35">
      <c r="B313" t="s">
        <v>26</v>
      </c>
      <c r="U313" t="e">
        <f>SUMPRODUCT(D$1:S$1, D313:S313) / SUM(D313:S313)</f>
        <v>#DIV/0!</v>
      </c>
      <c r="V313">
        <f>SUM(D313:S313)</f>
        <v>0</v>
      </c>
    </row>
    <row r="315" spans="1:22" x14ac:dyDescent="0.35">
      <c r="A315" s="6" t="s">
        <v>30</v>
      </c>
      <c r="B315" s="6"/>
    </row>
    <row r="316" spans="1:22" x14ac:dyDescent="0.35">
      <c r="B316" t="s">
        <v>29</v>
      </c>
      <c r="U316" t="e">
        <f>SUMPRODUCT(D$1:S$1, D316:S316) / SUM(D316:S316)</f>
        <v>#DIV/0!</v>
      </c>
      <c r="V316">
        <f>SUM(D316:S316)</f>
        <v>0</v>
      </c>
    </row>
    <row r="317" spans="1:22" x14ac:dyDescent="0.35">
      <c r="B317" t="s">
        <v>28</v>
      </c>
      <c r="U317" t="e">
        <f>SUMPRODUCT(D$1:S$1, D317:S317) / SUM(D317:S317)</f>
        <v>#DIV/0!</v>
      </c>
      <c r="V317">
        <f>SUM(D317:S317)</f>
        <v>0</v>
      </c>
    </row>
    <row r="318" spans="1:22" x14ac:dyDescent="0.35">
      <c r="B318" t="s">
        <v>27</v>
      </c>
      <c r="U318" t="e">
        <f>SUMPRODUCT(D$1:S$1, D318:S318) / SUM(D318:S318)</f>
        <v>#DIV/0!</v>
      </c>
      <c r="V318">
        <f>SUM(D318:S318)</f>
        <v>0</v>
      </c>
    </row>
    <row r="319" spans="1:22" x14ac:dyDescent="0.35">
      <c r="A319" s="3"/>
      <c r="B319" s="3" t="s">
        <v>26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 t="e">
        <f>SUMPRODUCT(D$1:S$1, D319:S319) / SUM(D319:S319)</f>
        <v>#DIV/0!</v>
      </c>
      <c r="V319" s="3">
        <f>SUM(D319:S319)</f>
        <v>0</v>
      </c>
    </row>
    <row r="320" spans="1:22" ht="15" thickBot="1" x14ac:dyDescent="0.4"/>
    <row r="321" spans="1:22" ht="15.5" thickTop="1" thickBot="1" x14ac:dyDescent="0.4">
      <c r="A321" s="8" t="s">
        <v>39</v>
      </c>
      <c r="B321" s="8" t="s">
        <v>34</v>
      </c>
      <c r="C321" s="8" t="s">
        <v>6</v>
      </c>
      <c r="D321" s="8">
        <v>1</v>
      </c>
      <c r="E321" s="8">
        <v>2</v>
      </c>
      <c r="F321" s="8">
        <v>3</v>
      </c>
      <c r="G321" s="8">
        <v>4</v>
      </c>
      <c r="H321" s="8">
        <v>5</v>
      </c>
      <c r="I321" s="8">
        <v>6</v>
      </c>
      <c r="J321" s="8">
        <v>7</v>
      </c>
      <c r="K321" s="8">
        <v>8</v>
      </c>
      <c r="L321" s="8">
        <v>9</v>
      </c>
      <c r="M321" s="8">
        <v>10</v>
      </c>
      <c r="N321" s="8">
        <v>11</v>
      </c>
      <c r="O321" s="8">
        <v>12</v>
      </c>
      <c r="P321" s="8">
        <v>13</v>
      </c>
      <c r="Q321" s="8">
        <v>14</v>
      </c>
      <c r="R321" s="8">
        <v>15</v>
      </c>
      <c r="S321" s="8">
        <v>16</v>
      </c>
      <c r="T321" s="7"/>
      <c r="U321" s="7"/>
      <c r="V321" s="7"/>
    </row>
    <row r="322" spans="1:22" ht="15" thickTop="1" x14ac:dyDescent="0.35">
      <c r="A322" s="6" t="s">
        <v>33</v>
      </c>
      <c r="B322" s="6"/>
    </row>
    <row r="323" spans="1:22" x14ac:dyDescent="0.35">
      <c r="B323" t="s">
        <v>29</v>
      </c>
      <c r="U323" t="e">
        <f>SUMPRODUCT(D$1:S$1, D323:S323) / SUM(D323:S323)</f>
        <v>#DIV/0!</v>
      </c>
      <c r="V323">
        <f>SUM(D323:S323)</f>
        <v>0</v>
      </c>
    </row>
    <row r="324" spans="1:22" x14ac:dyDescent="0.35">
      <c r="B324" t="s">
        <v>28</v>
      </c>
      <c r="U324" t="e">
        <f>SUMPRODUCT(D$1:S$1, D324:S324) / SUM(D324:S324)</f>
        <v>#DIV/0!</v>
      </c>
      <c r="V324">
        <f>SUM(D324:S324)</f>
        <v>0</v>
      </c>
    </row>
    <row r="325" spans="1:22" x14ac:dyDescent="0.35">
      <c r="B325" t="s">
        <v>27</v>
      </c>
      <c r="U325" t="e">
        <f>SUMPRODUCT(D$1:S$1, D325:S325) / SUM(D325:S325)</f>
        <v>#DIV/0!</v>
      </c>
      <c r="V325">
        <f>SUM(D325:S325)</f>
        <v>0</v>
      </c>
    </row>
    <row r="326" spans="1:22" x14ac:dyDescent="0.35">
      <c r="B326" t="s">
        <v>26</v>
      </c>
      <c r="U326" t="e">
        <f>SUMPRODUCT(D$1:S$1, D326:S326) / SUM(D326:S326)</f>
        <v>#DIV/0!</v>
      </c>
      <c r="V326">
        <f>SUM(D326:S326)</f>
        <v>0</v>
      </c>
    </row>
    <row r="328" spans="1:22" x14ac:dyDescent="0.35">
      <c r="A328" s="6" t="s">
        <v>32</v>
      </c>
      <c r="B328" s="6"/>
    </row>
    <row r="329" spans="1:22" x14ac:dyDescent="0.35">
      <c r="B329" t="s">
        <v>29</v>
      </c>
      <c r="U329" t="e">
        <f>SUMPRODUCT(D$1:S$1, D329:S329) / SUM(D329:S329)</f>
        <v>#DIV/0!</v>
      </c>
      <c r="V329">
        <f>SUM(D329:S329)</f>
        <v>0</v>
      </c>
    </row>
    <row r="330" spans="1:22" x14ac:dyDescent="0.35">
      <c r="B330" t="s">
        <v>28</v>
      </c>
      <c r="U330" t="e">
        <f>SUMPRODUCT(D$1:S$1, D330:S330) / SUM(D330:S330)</f>
        <v>#DIV/0!</v>
      </c>
      <c r="V330">
        <f>SUM(D330:S330)</f>
        <v>0</v>
      </c>
    </row>
    <row r="331" spans="1:22" x14ac:dyDescent="0.35">
      <c r="B331" t="s">
        <v>27</v>
      </c>
      <c r="U331" t="e">
        <f>SUMPRODUCT(D$1:S$1, D331:S331) / SUM(D331:S331)</f>
        <v>#DIV/0!</v>
      </c>
      <c r="V331">
        <f>SUM(D331:S331)</f>
        <v>0</v>
      </c>
    </row>
    <row r="332" spans="1:22" x14ac:dyDescent="0.35">
      <c r="A332" s="3"/>
      <c r="B332" s="3" t="s">
        <v>26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 t="e">
        <f>SUMPRODUCT(D$1:S$1, D332:S332) / SUM(D332:S332)</f>
        <v>#DIV/0!</v>
      </c>
      <c r="V332" s="3">
        <f>SUM(D332:S332)</f>
        <v>0</v>
      </c>
    </row>
    <row r="333" spans="1:22" x14ac:dyDescent="0.35">
      <c r="A333" s="6" t="s">
        <v>31</v>
      </c>
      <c r="B333" s="6"/>
    </row>
    <row r="334" spans="1:22" x14ac:dyDescent="0.35">
      <c r="B334" t="s">
        <v>29</v>
      </c>
      <c r="U334" t="e">
        <f>SUMPRODUCT(D$1:S$1, D334:S334) / SUM(D334:S334)</f>
        <v>#DIV/0!</v>
      </c>
      <c r="V334">
        <f>SUM(D334:S334)</f>
        <v>0</v>
      </c>
    </row>
    <row r="335" spans="1:22" x14ac:dyDescent="0.35">
      <c r="B335" t="s">
        <v>28</v>
      </c>
      <c r="U335" t="e">
        <f>SUMPRODUCT(D$1:S$1, D335:S335) / SUM(D335:S335)</f>
        <v>#DIV/0!</v>
      </c>
      <c r="V335">
        <f>SUM(D335:S335)</f>
        <v>0</v>
      </c>
    </row>
    <row r="336" spans="1:22" x14ac:dyDescent="0.35">
      <c r="B336" t="s">
        <v>27</v>
      </c>
      <c r="U336" t="e">
        <f>SUMPRODUCT(D$1:S$1, D336:S336) / SUM(D336:S336)</f>
        <v>#DIV/0!</v>
      </c>
      <c r="V336">
        <f>SUM(D336:S336)</f>
        <v>0</v>
      </c>
    </row>
    <row r="337" spans="1:22" x14ac:dyDescent="0.35">
      <c r="B337" t="s">
        <v>26</v>
      </c>
      <c r="U337" t="e">
        <f>SUMPRODUCT(D$1:S$1, D337:S337) / SUM(D337:S337)</f>
        <v>#DIV/0!</v>
      </c>
      <c r="V337">
        <f>SUM(D337:S337)</f>
        <v>0</v>
      </c>
    </row>
    <row r="339" spans="1:22" x14ac:dyDescent="0.35">
      <c r="A339" s="6" t="s">
        <v>30</v>
      </c>
      <c r="B339" s="6"/>
    </row>
    <row r="340" spans="1:22" x14ac:dyDescent="0.35">
      <c r="B340" t="s">
        <v>29</v>
      </c>
      <c r="U340" t="e">
        <f>SUMPRODUCT(D$1:S$1, D340:S340) / SUM(D340:S340)</f>
        <v>#DIV/0!</v>
      </c>
      <c r="V340">
        <f>SUM(D340:S340)</f>
        <v>0</v>
      </c>
    </row>
    <row r="341" spans="1:22" x14ac:dyDescent="0.35">
      <c r="B341" t="s">
        <v>28</v>
      </c>
      <c r="U341" t="e">
        <f>SUMPRODUCT(D$1:S$1, D341:S341) / SUM(D341:S341)</f>
        <v>#DIV/0!</v>
      </c>
      <c r="V341">
        <f>SUM(D341:S341)</f>
        <v>0</v>
      </c>
    </row>
    <row r="342" spans="1:22" x14ac:dyDescent="0.35">
      <c r="B342" t="s">
        <v>27</v>
      </c>
      <c r="U342" t="e">
        <f>SUMPRODUCT(D$1:S$1, D342:S342) / SUM(D342:S342)</f>
        <v>#DIV/0!</v>
      </c>
      <c r="V342">
        <f>SUM(D342:S342)</f>
        <v>0</v>
      </c>
    </row>
    <row r="343" spans="1:22" x14ac:dyDescent="0.35">
      <c r="A343" s="3"/>
      <c r="B343" s="3" t="s">
        <v>26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 t="e">
        <f>SUMPRODUCT(D$1:S$1, D343:S343) / SUM(D343:S343)</f>
        <v>#DIV/0!</v>
      </c>
      <c r="V343" s="3">
        <f>SUM(D343:S343)</f>
        <v>0</v>
      </c>
    </row>
    <row r="344" spans="1:22" ht="15" thickBot="1" x14ac:dyDescent="0.4"/>
    <row r="345" spans="1:22" ht="15.5" thickTop="1" thickBot="1" x14ac:dyDescent="0.4">
      <c r="A345" s="8" t="s">
        <v>38</v>
      </c>
      <c r="B345" s="8" t="s">
        <v>34</v>
      </c>
      <c r="C345" s="8" t="s">
        <v>6</v>
      </c>
      <c r="D345" s="8">
        <v>1</v>
      </c>
      <c r="E345" s="8">
        <v>2</v>
      </c>
      <c r="F345" s="8">
        <v>3</v>
      </c>
      <c r="G345" s="8">
        <v>4</v>
      </c>
      <c r="H345" s="8">
        <v>5</v>
      </c>
      <c r="I345" s="8">
        <v>6</v>
      </c>
      <c r="J345" s="8">
        <v>7</v>
      </c>
      <c r="K345" s="8">
        <v>8</v>
      </c>
      <c r="L345" s="8">
        <v>9</v>
      </c>
      <c r="M345" s="8">
        <v>10</v>
      </c>
      <c r="N345" s="8">
        <v>11</v>
      </c>
      <c r="O345" s="8">
        <v>12</v>
      </c>
      <c r="P345" s="8">
        <v>13</v>
      </c>
      <c r="Q345" s="8">
        <v>14</v>
      </c>
      <c r="R345" s="8">
        <v>15</v>
      </c>
      <c r="S345" s="8">
        <v>16</v>
      </c>
      <c r="T345" s="7"/>
      <c r="U345" s="7"/>
      <c r="V345" s="7"/>
    </row>
    <row r="346" spans="1:22" ht="15" thickTop="1" x14ac:dyDescent="0.35">
      <c r="A346" s="6" t="s">
        <v>33</v>
      </c>
      <c r="B346" s="6"/>
    </row>
    <row r="347" spans="1:22" x14ac:dyDescent="0.35">
      <c r="B347" t="s">
        <v>29</v>
      </c>
      <c r="U347" t="e">
        <f>SUMPRODUCT(D$1:S$1, D347:S347) / SUM(D347:S347)</f>
        <v>#DIV/0!</v>
      </c>
      <c r="V347">
        <f>SUM(D347:S347)</f>
        <v>0</v>
      </c>
    </row>
    <row r="348" spans="1:22" x14ac:dyDescent="0.35">
      <c r="B348" t="s">
        <v>28</v>
      </c>
      <c r="U348" t="e">
        <f>SUMPRODUCT(D$1:S$1, D348:S348) / SUM(D348:S348)</f>
        <v>#DIV/0!</v>
      </c>
      <c r="V348">
        <f>SUM(D348:S348)</f>
        <v>0</v>
      </c>
    </row>
    <row r="349" spans="1:22" x14ac:dyDescent="0.35">
      <c r="B349" t="s">
        <v>27</v>
      </c>
      <c r="U349" t="e">
        <f>SUMPRODUCT(D$1:S$1, D349:S349) / SUM(D349:S349)</f>
        <v>#DIV/0!</v>
      </c>
      <c r="V349">
        <f>SUM(D349:S349)</f>
        <v>0</v>
      </c>
    </row>
    <row r="350" spans="1:22" x14ac:dyDescent="0.35">
      <c r="B350" t="s">
        <v>26</v>
      </c>
      <c r="U350" t="e">
        <f>SUMPRODUCT(D$1:S$1, D350:S350) / SUM(D350:S350)</f>
        <v>#DIV/0!</v>
      </c>
      <c r="V350">
        <f>SUM(D350:S350)</f>
        <v>0</v>
      </c>
    </row>
    <row r="352" spans="1:22" x14ac:dyDescent="0.35">
      <c r="A352" s="6" t="s">
        <v>32</v>
      </c>
      <c r="B352" s="6"/>
    </row>
    <row r="353" spans="1:22" x14ac:dyDescent="0.35">
      <c r="B353" t="s">
        <v>29</v>
      </c>
      <c r="U353" t="e">
        <f>SUMPRODUCT(D$1:S$1, D353:S353) / SUM(D353:S353)</f>
        <v>#DIV/0!</v>
      </c>
      <c r="V353">
        <f>SUM(D353:S353)</f>
        <v>0</v>
      </c>
    </row>
    <row r="354" spans="1:22" x14ac:dyDescent="0.35">
      <c r="B354" t="s">
        <v>28</v>
      </c>
      <c r="U354" t="e">
        <f>SUMPRODUCT(D$1:S$1, D354:S354) / SUM(D354:S354)</f>
        <v>#DIV/0!</v>
      </c>
      <c r="V354">
        <f>SUM(D354:S354)</f>
        <v>0</v>
      </c>
    </row>
    <row r="355" spans="1:22" x14ac:dyDescent="0.35">
      <c r="B355" t="s">
        <v>27</v>
      </c>
      <c r="U355" t="e">
        <f>SUMPRODUCT(D$1:S$1, D355:S355) / SUM(D355:S355)</f>
        <v>#DIV/0!</v>
      </c>
      <c r="V355">
        <f>SUM(D355:S355)</f>
        <v>0</v>
      </c>
    </row>
    <row r="356" spans="1:22" x14ac:dyDescent="0.35">
      <c r="A356" s="3"/>
      <c r="B356" s="3" t="s">
        <v>26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 t="e">
        <f>SUMPRODUCT(D$1:S$1, D356:S356) / SUM(D356:S356)</f>
        <v>#DIV/0!</v>
      </c>
      <c r="V356" s="3">
        <f>SUM(D356:S356)</f>
        <v>0</v>
      </c>
    </row>
    <row r="357" spans="1:22" x14ac:dyDescent="0.35">
      <c r="A357" s="6" t="s">
        <v>31</v>
      </c>
      <c r="B357" s="6"/>
    </row>
    <row r="358" spans="1:22" x14ac:dyDescent="0.35">
      <c r="B358" t="s">
        <v>29</v>
      </c>
      <c r="U358" t="e">
        <f>SUMPRODUCT(D$1:S$1, D358:S358) / SUM(D358:S358)</f>
        <v>#DIV/0!</v>
      </c>
      <c r="V358">
        <f>SUM(D358:S358)</f>
        <v>0</v>
      </c>
    </row>
    <row r="359" spans="1:22" x14ac:dyDescent="0.35">
      <c r="B359" t="s">
        <v>28</v>
      </c>
      <c r="U359" t="e">
        <f>SUMPRODUCT(D$1:S$1, D359:S359) / SUM(D359:S359)</f>
        <v>#DIV/0!</v>
      </c>
      <c r="V359">
        <f>SUM(D359:S359)</f>
        <v>0</v>
      </c>
    </row>
    <row r="360" spans="1:22" x14ac:dyDescent="0.35">
      <c r="B360" t="s">
        <v>27</v>
      </c>
      <c r="U360" t="e">
        <f>SUMPRODUCT(D$1:S$1, D360:S360) / SUM(D360:S360)</f>
        <v>#DIV/0!</v>
      </c>
      <c r="V360">
        <f>SUM(D360:S360)</f>
        <v>0</v>
      </c>
    </row>
    <row r="361" spans="1:22" x14ac:dyDescent="0.35">
      <c r="B361" t="s">
        <v>26</v>
      </c>
      <c r="U361" t="e">
        <f>SUMPRODUCT(D$1:S$1, D361:S361) / SUM(D361:S361)</f>
        <v>#DIV/0!</v>
      </c>
      <c r="V361">
        <f>SUM(D361:S361)</f>
        <v>0</v>
      </c>
    </row>
    <row r="363" spans="1:22" x14ac:dyDescent="0.35">
      <c r="A363" s="6" t="s">
        <v>30</v>
      </c>
      <c r="B363" s="6"/>
    </row>
    <row r="364" spans="1:22" x14ac:dyDescent="0.35">
      <c r="B364" t="s">
        <v>29</v>
      </c>
      <c r="U364" t="e">
        <f>SUMPRODUCT(D$1:S$1, D364:S364) / SUM(D364:S364)</f>
        <v>#DIV/0!</v>
      </c>
      <c r="V364">
        <f>SUM(D364:S364)</f>
        <v>0</v>
      </c>
    </row>
    <row r="365" spans="1:22" x14ac:dyDescent="0.35">
      <c r="B365" t="s">
        <v>28</v>
      </c>
      <c r="U365" t="e">
        <f>SUMPRODUCT(D$1:S$1, D365:S365) / SUM(D365:S365)</f>
        <v>#DIV/0!</v>
      </c>
      <c r="V365">
        <f>SUM(D365:S365)</f>
        <v>0</v>
      </c>
    </row>
    <row r="366" spans="1:22" x14ac:dyDescent="0.35">
      <c r="B366" t="s">
        <v>27</v>
      </c>
      <c r="U366" t="e">
        <f>SUMPRODUCT(D$1:S$1, D366:S366) / SUM(D366:S366)</f>
        <v>#DIV/0!</v>
      </c>
      <c r="V366">
        <f>SUM(D366:S366)</f>
        <v>0</v>
      </c>
    </row>
    <row r="367" spans="1:22" x14ac:dyDescent="0.35">
      <c r="A367" s="3"/>
      <c r="B367" s="3" t="s">
        <v>26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 t="e">
        <f>SUMPRODUCT(D$1:S$1, D367:S367) / SUM(D367:S367)</f>
        <v>#DIV/0!</v>
      </c>
      <c r="V367" s="3">
        <f>SUM(D367:S367)</f>
        <v>0</v>
      </c>
    </row>
    <row r="368" spans="1:22" ht="15" thickBot="1" x14ac:dyDescent="0.4"/>
    <row r="369" spans="1:22" ht="15.5" thickTop="1" thickBot="1" x14ac:dyDescent="0.4">
      <c r="A369" s="8" t="s">
        <v>37</v>
      </c>
      <c r="B369" s="8" t="s">
        <v>34</v>
      </c>
      <c r="C369" s="8" t="s">
        <v>6</v>
      </c>
      <c r="D369" s="8">
        <v>1</v>
      </c>
      <c r="E369" s="8">
        <v>2</v>
      </c>
      <c r="F369" s="8">
        <v>3</v>
      </c>
      <c r="G369" s="8">
        <v>4</v>
      </c>
      <c r="H369" s="8">
        <v>5</v>
      </c>
      <c r="I369" s="8">
        <v>6</v>
      </c>
      <c r="J369" s="8">
        <v>7</v>
      </c>
      <c r="K369" s="8">
        <v>8</v>
      </c>
      <c r="L369" s="8">
        <v>9</v>
      </c>
      <c r="M369" s="8">
        <v>10</v>
      </c>
      <c r="N369" s="8">
        <v>11</v>
      </c>
      <c r="O369" s="8">
        <v>12</v>
      </c>
      <c r="P369" s="8">
        <v>13</v>
      </c>
      <c r="Q369" s="8">
        <v>14</v>
      </c>
      <c r="R369" s="8">
        <v>15</v>
      </c>
      <c r="S369" s="8">
        <v>16</v>
      </c>
      <c r="T369" s="7"/>
      <c r="U369" s="7"/>
      <c r="V369" s="7"/>
    </row>
    <row r="370" spans="1:22" ht="15" thickTop="1" x14ac:dyDescent="0.35">
      <c r="A370" s="6" t="s">
        <v>33</v>
      </c>
      <c r="B370" s="6"/>
    </row>
    <row r="371" spans="1:22" x14ac:dyDescent="0.35">
      <c r="B371" t="s">
        <v>29</v>
      </c>
      <c r="U371" t="e">
        <f>SUMPRODUCT(D$1:S$1, D371:S371) / SUM(D371:S371)</f>
        <v>#DIV/0!</v>
      </c>
      <c r="V371">
        <f>SUM(D371:S371)</f>
        <v>0</v>
      </c>
    </row>
    <row r="372" spans="1:22" x14ac:dyDescent="0.35">
      <c r="B372" t="s">
        <v>28</v>
      </c>
      <c r="U372" t="e">
        <f>SUMPRODUCT(D$1:S$1, D372:S372) / SUM(D372:S372)</f>
        <v>#DIV/0!</v>
      </c>
      <c r="V372">
        <f>SUM(D372:S372)</f>
        <v>0</v>
      </c>
    </row>
    <row r="373" spans="1:22" x14ac:dyDescent="0.35">
      <c r="B373" t="s">
        <v>27</v>
      </c>
      <c r="U373" t="e">
        <f>SUMPRODUCT(D$1:S$1, D373:S373) / SUM(D373:S373)</f>
        <v>#DIV/0!</v>
      </c>
      <c r="V373">
        <f>SUM(D373:S373)</f>
        <v>0</v>
      </c>
    </row>
    <row r="374" spans="1:22" x14ac:dyDescent="0.35">
      <c r="B374" t="s">
        <v>26</v>
      </c>
      <c r="U374" t="e">
        <f>SUMPRODUCT(D$1:S$1, D374:S374) / SUM(D374:S374)</f>
        <v>#DIV/0!</v>
      </c>
      <c r="V374">
        <f>SUM(D374:S374)</f>
        <v>0</v>
      </c>
    </row>
    <row r="376" spans="1:22" x14ac:dyDescent="0.35">
      <c r="A376" s="6" t="s">
        <v>32</v>
      </c>
      <c r="B376" s="6"/>
    </row>
    <row r="377" spans="1:22" x14ac:dyDescent="0.35">
      <c r="B377" t="s">
        <v>29</v>
      </c>
      <c r="U377" t="e">
        <f>SUMPRODUCT(D$1:S$1, D377:S377) / SUM(D377:S377)</f>
        <v>#DIV/0!</v>
      </c>
      <c r="V377">
        <f>SUM(D377:S377)</f>
        <v>0</v>
      </c>
    </row>
    <row r="378" spans="1:22" x14ac:dyDescent="0.35">
      <c r="B378" t="s">
        <v>28</v>
      </c>
      <c r="U378" t="e">
        <f>SUMPRODUCT(D$1:S$1, D378:S378) / SUM(D378:S378)</f>
        <v>#DIV/0!</v>
      </c>
      <c r="V378">
        <f>SUM(D378:S378)</f>
        <v>0</v>
      </c>
    </row>
    <row r="379" spans="1:22" x14ac:dyDescent="0.35">
      <c r="B379" t="s">
        <v>27</v>
      </c>
      <c r="U379" t="e">
        <f>SUMPRODUCT(D$1:S$1, D379:S379) / SUM(D379:S379)</f>
        <v>#DIV/0!</v>
      </c>
      <c r="V379">
        <f>SUM(D379:S379)</f>
        <v>0</v>
      </c>
    </row>
    <row r="380" spans="1:22" x14ac:dyDescent="0.35">
      <c r="A380" s="3"/>
      <c r="B380" s="3" t="s">
        <v>26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 t="e">
        <f>SUMPRODUCT(D$1:S$1, D380:S380) / SUM(D380:S380)</f>
        <v>#DIV/0!</v>
      </c>
      <c r="V380" s="3">
        <f>SUM(D380:S380)</f>
        <v>0</v>
      </c>
    </row>
    <row r="381" spans="1:22" x14ac:dyDescent="0.35">
      <c r="A381" s="6" t="s">
        <v>31</v>
      </c>
      <c r="B381" s="6"/>
    </row>
    <row r="382" spans="1:22" x14ac:dyDescent="0.35">
      <c r="B382" t="s">
        <v>29</v>
      </c>
      <c r="U382" t="e">
        <f>SUMPRODUCT(D$1:S$1, D382:S382) / SUM(D382:S382)</f>
        <v>#DIV/0!</v>
      </c>
      <c r="V382">
        <f>SUM(D382:S382)</f>
        <v>0</v>
      </c>
    </row>
    <row r="383" spans="1:22" x14ac:dyDescent="0.35">
      <c r="B383" t="s">
        <v>28</v>
      </c>
      <c r="U383" t="e">
        <f>SUMPRODUCT(D$1:S$1, D383:S383) / SUM(D383:S383)</f>
        <v>#DIV/0!</v>
      </c>
      <c r="V383">
        <f>SUM(D383:S383)</f>
        <v>0</v>
      </c>
    </row>
    <row r="384" spans="1:22" x14ac:dyDescent="0.35">
      <c r="B384" t="s">
        <v>27</v>
      </c>
      <c r="U384" t="e">
        <f>SUMPRODUCT(D$1:S$1, D384:S384) / SUM(D384:S384)</f>
        <v>#DIV/0!</v>
      </c>
      <c r="V384">
        <f>SUM(D384:S384)</f>
        <v>0</v>
      </c>
    </row>
    <row r="385" spans="1:22" x14ac:dyDescent="0.35">
      <c r="B385" t="s">
        <v>26</v>
      </c>
      <c r="U385" t="e">
        <f>SUMPRODUCT(D$1:S$1, D385:S385) / SUM(D385:S385)</f>
        <v>#DIV/0!</v>
      </c>
      <c r="V385">
        <f>SUM(D385:S385)</f>
        <v>0</v>
      </c>
    </row>
    <row r="387" spans="1:22" x14ac:dyDescent="0.35">
      <c r="A387" s="6" t="s">
        <v>30</v>
      </c>
      <c r="B387" s="6"/>
    </row>
    <row r="388" spans="1:22" x14ac:dyDescent="0.35">
      <c r="B388" t="s">
        <v>29</v>
      </c>
      <c r="U388" t="e">
        <f>SUMPRODUCT(D$1:S$1, D388:S388) / SUM(D388:S388)</f>
        <v>#DIV/0!</v>
      </c>
      <c r="V388">
        <f>SUM(D388:S388)</f>
        <v>0</v>
      </c>
    </row>
    <row r="389" spans="1:22" x14ac:dyDescent="0.35">
      <c r="B389" t="s">
        <v>28</v>
      </c>
      <c r="U389" t="e">
        <f>SUMPRODUCT(D$1:S$1, D389:S389) / SUM(D389:S389)</f>
        <v>#DIV/0!</v>
      </c>
      <c r="V389">
        <f>SUM(D389:S389)</f>
        <v>0</v>
      </c>
    </row>
    <row r="390" spans="1:22" x14ac:dyDescent="0.35">
      <c r="B390" t="s">
        <v>27</v>
      </c>
      <c r="U390" t="e">
        <f>SUMPRODUCT(D$1:S$1, D390:S390) / SUM(D390:S390)</f>
        <v>#DIV/0!</v>
      </c>
      <c r="V390">
        <f>SUM(D390:S390)</f>
        <v>0</v>
      </c>
    </row>
    <row r="391" spans="1:22" x14ac:dyDescent="0.35">
      <c r="A391" s="3"/>
      <c r="B391" s="3" t="s">
        <v>26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 t="e">
        <f>SUMPRODUCT(D$1:S$1, D391:S391) / SUM(D391:S391)</f>
        <v>#DIV/0!</v>
      </c>
      <c r="V391" s="3">
        <f>SUM(D391:S391)</f>
        <v>0</v>
      </c>
    </row>
    <row r="392" spans="1:22" ht="15" thickBot="1" x14ac:dyDescent="0.4"/>
    <row r="393" spans="1:22" ht="15.5" thickTop="1" thickBot="1" x14ac:dyDescent="0.4">
      <c r="A393" s="8" t="s">
        <v>36</v>
      </c>
      <c r="B393" s="8" t="s">
        <v>34</v>
      </c>
      <c r="C393" s="8" t="s">
        <v>6</v>
      </c>
      <c r="D393" s="8">
        <v>1</v>
      </c>
      <c r="E393" s="8">
        <v>2</v>
      </c>
      <c r="F393" s="8">
        <v>3</v>
      </c>
      <c r="G393" s="8">
        <v>4</v>
      </c>
      <c r="H393" s="8">
        <v>5</v>
      </c>
      <c r="I393" s="8">
        <v>6</v>
      </c>
      <c r="J393" s="8">
        <v>7</v>
      </c>
      <c r="K393" s="8">
        <v>8</v>
      </c>
      <c r="L393" s="8">
        <v>9</v>
      </c>
      <c r="M393" s="8">
        <v>10</v>
      </c>
      <c r="N393" s="8">
        <v>11</v>
      </c>
      <c r="O393" s="8">
        <v>12</v>
      </c>
      <c r="P393" s="8">
        <v>13</v>
      </c>
      <c r="Q393" s="8">
        <v>14</v>
      </c>
      <c r="R393" s="8">
        <v>15</v>
      </c>
      <c r="S393" s="8">
        <v>16</v>
      </c>
      <c r="T393" s="7"/>
      <c r="U393" s="7"/>
      <c r="V393" s="7"/>
    </row>
    <row r="394" spans="1:22" ht="15" thickTop="1" x14ac:dyDescent="0.35">
      <c r="A394" s="6" t="s">
        <v>33</v>
      </c>
      <c r="B394" s="6"/>
    </row>
    <row r="395" spans="1:22" x14ac:dyDescent="0.35">
      <c r="B395" t="s">
        <v>29</v>
      </c>
      <c r="U395" t="e">
        <f>SUMPRODUCT(D$1:S$1, D395:S395) / SUM(D395:S395)</f>
        <v>#DIV/0!</v>
      </c>
      <c r="V395">
        <f>SUM(D395:S395)</f>
        <v>0</v>
      </c>
    </row>
    <row r="396" spans="1:22" x14ac:dyDescent="0.35">
      <c r="B396" t="s">
        <v>28</v>
      </c>
      <c r="U396" t="e">
        <f>SUMPRODUCT(D$1:S$1, D396:S396) / SUM(D396:S396)</f>
        <v>#DIV/0!</v>
      </c>
      <c r="V396">
        <f>SUM(D396:S396)</f>
        <v>0</v>
      </c>
    </row>
    <row r="397" spans="1:22" x14ac:dyDescent="0.35">
      <c r="B397" t="s">
        <v>27</v>
      </c>
      <c r="U397" t="e">
        <f>SUMPRODUCT(D$1:S$1, D397:S397) / SUM(D397:S397)</f>
        <v>#DIV/0!</v>
      </c>
      <c r="V397">
        <f>SUM(D397:S397)</f>
        <v>0</v>
      </c>
    </row>
    <row r="398" spans="1:22" x14ac:dyDescent="0.35">
      <c r="B398" t="s">
        <v>26</v>
      </c>
      <c r="U398" t="e">
        <f>SUMPRODUCT(D$1:S$1, D398:S398) / SUM(D398:S398)</f>
        <v>#DIV/0!</v>
      </c>
      <c r="V398">
        <f>SUM(D398:S398)</f>
        <v>0</v>
      </c>
    </row>
    <row r="400" spans="1:22" x14ac:dyDescent="0.35">
      <c r="A400" s="6" t="s">
        <v>32</v>
      </c>
      <c r="B400" s="6"/>
    </row>
    <row r="401" spans="1:22" x14ac:dyDescent="0.35">
      <c r="B401" t="s">
        <v>29</v>
      </c>
      <c r="U401" t="e">
        <f>SUMPRODUCT(D$1:S$1, D401:S401) / SUM(D401:S401)</f>
        <v>#DIV/0!</v>
      </c>
      <c r="V401">
        <f>SUM(D401:S401)</f>
        <v>0</v>
      </c>
    </row>
    <row r="402" spans="1:22" x14ac:dyDescent="0.35">
      <c r="B402" t="s">
        <v>28</v>
      </c>
      <c r="U402" t="e">
        <f>SUMPRODUCT(D$1:S$1, D402:S402) / SUM(D402:S402)</f>
        <v>#DIV/0!</v>
      </c>
      <c r="V402">
        <f>SUM(D402:S402)</f>
        <v>0</v>
      </c>
    </row>
    <row r="403" spans="1:22" x14ac:dyDescent="0.35">
      <c r="B403" t="s">
        <v>27</v>
      </c>
      <c r="U403" t="e">
        <f>SUMPRODUCT(D$1:S$1, D403:S403) / SUM(D403:S403)</f>
        <v>#DIV/0!</v>
      </c>
      <c r="V403">
        <f>SUM(D403:S403)</f>
        <v>0</v>
      </c>
    </row>
    <row r="404" spans="1:22" x14ac:dyDescent="0.35">
      <c r="A404" s="3"/>
      <c r="B404" s="3" t="s">
        <v>26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 t="e">
        <f>SUMPRODUCT(D$1:S$1, D404:S404) / SUM(D404:S404)</f>
        <v>#DIV/0!</v>
      </c>
      <c r="V404" s="3">
        <f>SUM(D404:S404)</f>
        <v>0</v>
      </c>
    </row>
    <row r="405" spans="1:22" x14ac:dyDescent="0.35">
      <c r="A405" s="6" t="s">
        <v>31</v>
      </c>
      <c r="B405" s="6"/>
    </row>
    <row r="406" spans="1:22" x14ac:dyDescent="0.35">
      <c r="B406" t="s">
        <v>29</v>
      </c>
      <c r="U406" t="e">
        <f>SUMPRODUCT(D$1:S$1, D406:S406) / SUM(D406:S406)</f>
        <v>#DIV/0!</v>
      </c>
      <c r="V406">
        <f>SUM(D406:S406)</f>
        <v>0</v>
      </c>
    </row>
    <row r="407" spans="1:22" x14ac:dyDescent="0.35">
      <c r="B407" t="s">
        <v>28</v>
      </c>
      <c r="U407" t="e">
        <f>SUMPRODUCT(D$1:S$1, D407:S407) / SUM(D407:S407)</f>
        <v>#DIV/0!</v>
      </c>
      <c r="V407">
        <f>SUM(D407:S407)</f>
        <v>0</v>
      </c>
    </row>
    <row r="408" spans="1:22" x14ac:dyDescent="0.35">
      <c r="B408" t="s">
        <v>27</v>
      </c>
      <c r="U408" t="e">
        <f>SUMPRODUCT(D$1:S$1, D408:S408) / SUM(D408:S408)</f>
        <v>#DIV/0!</v>
      </c>
      <c r="V408">
        <f>SUM(D408:S408)</f>
        <v>0</v>
      </c>
    </row>
    <row r="409" spans="1:22" x14ac:dyDescent="0.35">
      <c r="B409" t="s">
        <v>26</v>
      </c>
      <c r="U409" t="e">
        <f>SUMPRODUCT(D$1:S$1, D409:S409) / SUM(D409:S409)</f>
        <v>#DIV/0!</v>
      </c>
      <c r="V409">
        <f>SUM(D409:S409)</f>
        <v>0</v>
      </c>
    </row>
    <row r="411" spans="1:22" x14ac:dyDescent="0.35">
      <c r="A411" s="6" t="s">
        <v>30</v>
      </c>
      <c r="B411" s="6"/>
    </row>
    <row r="412" spans="1:22" x14ac:dyDescent="0.35">
      <c r="B412" t="s">
        <v>29</v>
      </c>
      <c r="U412" t="e">
        <f>SUMPRODUCT(D$1:S$1, D412:S412) / SUM(D412:S412)</f>
        <v>#DIV/0!</v>
      </c>
      <c r="V412">
        <f>SUM(D412:S412)</f>
        <v>0</v>
      </c>
    </row>
    <row r="413" spans="1:22" x14ac:dyDescent="0.35">
      <c r="B413" t="s">
        <v>28</v>
      </c>
      <c r="U413" t="e">
        <f>SUMPRODUCT(D$1:S$1, D413:S413) / SUM(D413:S413)</f>
        <v>#DIV/0!</v>
      </c>
      <c r="V413">
        <f>SUM(D413:S413)</f>
        <v>0</v>
      </c>
    </row>
    <row r="414" spans="1:22" x14ac:dyDescent="0.35">
      <c r="B414" t="s">
        <v>27</v>
      </c>
      <c r="U414" t="e">
        <f>SUMPRODUCT(D$1:S$1, D414:S414) / SUM(D414:S414)</f>
        <v>#DIV/0!</v>
      </c>
      <c r="V414">
        <f>SUM(D414:S414)</f>
        <v>0</v>
      </c>
    </row>
    <row r="415" spans="1:22" x14ac:dyDescent="0.35">
      <c r="A415" s="3"/>
      <c r="B415" s="3" t="s">
        <v>26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 t="e">
        <f>SUMPRODUCT(D$1:S$1, D415:S415) / SUM(D415:S415)</f>
        <v>#DIV/0!</v>
      </c>
      <c r="V415" s="3">
        <f>SUM(D415:S415)</f>
        <v>0</v>
      </c>
    </row>
    <row r="416" spans="1:22" ht="15" thickBot="1" x14ac:dyDescent="0.4"/>
    <row r="417" spans="1:22" ht="15.5" thickTop="1" thickBot="1" x14ac:dyDescent="0.4">
      <c r="A417" s="8" t="s">
        <v>35</v>
      </c>
      <c r="B417" s="8" t="s">
        <v>34</v>
      </c>
      <c r="C417" s="8" t="s">
        <v>6</v>
      </c>
      <c r="D417" s="8">
        <v>1</v>
      </c>
      <c r="E417" s="8">
        <v>2</v>
      </c>
      <c r="F417" s="8">
        <v>3</v>
      </c>
      <c r="G417" s="8">
        <v>4</v>
      </c>
      <c r="H417" s="8">
        <v>5</v>
      </c>
      <c r="I417" s="8">
        <v>6</v>
      </c>
      <c r="J417" s="8">
        <v>7</v>
      </c>
      <c r="K417" s="8">
        <v>8</v>
      </c>
      <c r="L417" s="8">
        <v>9</v>
      </c>
      <c r="M417" s="8">
        <v>10</v>
      </c>
      <c r="N417" s="8">
        <v>11</v>
      </c>
      <c r="O417" s="8">
        <v>12</v>
      </c>
      <c r="P417" s="8">
        <v>13</v>
      </c>
      <c r="Q417" s="8">
        <v>14</v>
      </c>
      <c r="R417" s="8">
        <v>15</v>
      </c>
      <c r="S417" s="8">
        <v>16</v>
      </c>
      <c r="T417" s="7"/>
      <c r="U417" s="7"/>
      <c r="V417" s="7"/>
    </row>
    <row r="418" spans="1:22" ht="15" thickTop="1" x14ac:dyDescent="0.35">
      <c r="A418" s="6" t="s">
        <v>33</v>
      </c>
      <c r="B418" s="6"/>
    </row>
    <row r="419" spans="1:22" x14ac:dyDescent="0.35">
      <c r="B419" t="s">
        <v>29</v>
      </c>
      <c r="U419" t="e">
        <f>SUMPRODUCT(D$1:S$1, D419:S419) / SUM(D419:S419)</f>
        <v>#DIV/0!</v>
      </c>
      <c r="V419">
        <f>SUM(D419:S419)</f>
        <v>0</v>
      </c>
    </row>
    <row r="420" spans="1:22" x14ac:dyDescent="0.35">
      <c r="B420" t="s">
        <v>28</v>
      </c>
      <c r="U420" t="e">
        <f>SUMPRODUCT(D$1:S$1, D420:S420) / SUM(D420:S420)</f>
        <v>#DIV/0!</v>
      </c>
      <c r="V420">
        <f>SUM(D420:S420)</f>
        <v>0</v>
      </c>
    </row>
    <row r="421" spans="1:22" x14ac:dyDescent="0.35">
      <c r="B421" t="s">
        <v>27</v>
      </c>
      <c r="U421" t="e">
        <f>SUMPRODUCT(D$1:S$1, D421:S421) / SUM(D421:S421)</f>
        <v>#DIV/0!</v>
      </c>
      <c r="V421">
        <f>SUM(D421:S421)</f>
        <v>0</v>
      </c>
    </row>
    <row r="422" spans="1:22" x14ac:dyDescent="0.35">
      <c r="B422" t="s">
        <v>26</v>
      </c>
      <c r="U422" t="e">
        <f>SUMPRODUCT(D$1:S$1, D422:S422) / SUM(D422:S422)</f>
        <v>#DIV/0!</v>
      </c>
      <c r="V422">
        <f>SUM(D422:S422)</f>
        <v>0</v>
      </c>
    </row>
    <row r="424" spans="1:22" x14ac:dyDescent="0.35">
      <c r="A424" s="6" t="s">
        <v>32</v>
      </c>
      <c r="B424" s="6"/>
    </row>
    <row r="425" spans="1:22" x14ac:dyDescent="0.35">
      <c r="B425" t="s">
        <v>29</v>
      </c>
      <c r="U425" t="e">
        <f>SUMPRODUCT(D$1:S$1, D425:S425) / SUM(D425:S425)</f>
        <v>#DIV/0!</v>
      </c>
      <c r="V425">
        <f>SUM(D425:S425)</f>
        <v>0</v>
      </c>
    </row>
    <row r="426" spans="1:22" x14ac:dyDescent="0.35">
      <c r="B426" t="s">
        <v>28</v>
      </c>
      <c r="U426" t="e">
        <f>SUMPRODUCT(D$1:S$1, D426:S426) / SUM(D426:S426)</f>
        <v>#DIV/0!</v>
      </c>
      <c r="V426">
        <f>SUM(D426:S426)</f>
        <v>0</v>
      </c>
    </row>
    <row r="427" spans="1:22" x14ac:dyDescent="0.35">
      <c r="B427" t="s">
        <v>27</v>
      </c>
      <c r="U427" t="e">
        <f>SUMPRODUCT(D$1:S$1, D427:S427) / SUM(D427:S427)</f>
        <v>#DIV/0!</v>
      </c>
      <c r="V427">
        <f>SUM(D427:S427)</f>
        <v>0</v>
      </c>
    </row>
    <row r="428" spans="1:22" x14ac:dyDescent="0.35">
      <c r="A428" s="3"/>
      <c r="B428" s="3" t="s">
        <v>26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 t="e">
        <f>SUMPRODUCT(D$1:S$1, D428:S428) / SUM(D428:S428)</f>
        <v>#DIV/0!</v>
      </c>
      <c r="V428" s="3">
        <f>SUM(D428:S428)</f>
        <v>0</v>
      </c>
    </row>
    <row r="429" spans="1:22" x14ac:dyDescent="0.35">
      <c r="A429" s="6" t="s">
        <v>31</v>
      </c>
      <c r="B429" s="6"/>
    </row>
    <row r="430" spans="1:22" x14ac:dyDescent="0.35">
      <c r="B430" t="s">
        <v>29</v>
      </c>
      <c r="U430" t="e">
        <f>SUMPRODUCT(D$1:S$1, D430:S430) / SUM(D430:S430)</f>
        <v>#DIV/0!</v>
      </c>
      <c r="V430">
        <f>SUM(D430:S430)</f>
        <v>0</v>
      </c>
    </row>
    <row r="431" spans="1:22" x14ac:dyDescent="0.35">
      <c r="B431" t="s">
        <v>28</v>
      </c>
      <c r="U431" t="e">
        <f>SUMPRODUCT(D$1:S$1, D431:S431) / SUM(D431:S431)</f>
        <v>#DIV/0!</v>
      </c>
      <c r="V431">
        <f>SUM(D431:S431)</f>
        <v>0</v>
      </c>
    </row>
    <row r="432" spans="1:22" x14ac:dyDescent="0.35">
      <c r="B432" t="s">
        <v>27</v>
      </c>
      <c r="U432" t="e">
        <f>SUMPRODUCT(D$1:S$1, D432:S432) / SUM(D432:S432)</f>
        <v>#DIV/0!</v>
      </c>
      <c r="V432">
        <f>SUM(D432:S432)</f>
        <v>0</v>
      </c>
    </row>
    <row r="433" spans="1:22" x14ac:dyDescent="0.35">
      <c r="B433" t="s">
        <v>26</v>
      </c>
      <c r="U433" t="e">
        <f>SUMPRODUCT(D$1:S$1, D433:S433) / SUM(D433:S433)</f>
        <v>#DIV/0!</v>
      </c>
      <c r="V433">
        <f>SUM(D433:S433)</f>
        <v>0</v>
      </c>
    </row>
    <row r="435" spans="1:22" x14ac:dyDescent="0.35">
      <c r="A435" s="6" t="s">
        <v>30</v>
      </c>
      <c r="B435" s="6"/>
    </row>
    <row r="436" spans="1:22" x14ac:dyDescent="0.35">
      <c r="B436" t="s">
        <v>29</v>
      </c>
      <c r="U436" t="e">
        <f>SUMPRODUCT(D$1:S$1, D436:S436) / SUM(D436:S436)</f>
        <v>#DIV/0!</v>
      </c>
      <c r="V436">
        <f>SUM(D436:S436)</f>
        <v>0</v>
      </c>
    </row>
    <row r="437" spans="1:22" x14ac:dyDescent="0.35">
      <c r="B437" t="s">
        <v>28</v>
      </c>
      <c r="U437" t="e">
        <f>SUMPRODUCT(D$1:S$1, D437:S437) / SUM(D437:S437)</f>
        <v>#DIV/0!</v>
      </c>
      <c r="V437">
        <f>SUM(D437:S437)</f>
        <v>0</v>
      </c>
    </row>
    <row r="438" spans="1:22" x14ac:dyDescent="0.35">
      <c r="B438" t="s">
        <v>27</v>
      </c>
      <c r="U438" t="e">
        <f>SUMPRODUCT(D$1:S$1, D438:S438) / SUM(D438:S438)</f>
        <v>#DIV/0!</v>
      </c>
      <c r="V438">
        <f>SUM(D438:S438)</f>
        <v>0</v>
      </c>
    </row>
    <row r="439" spans="1:22" x14ac:dyDescent="0.35">
      <c r="A439" s="3"/>
      <c r="B439" s="3" t="s">
        <v>26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 t="e">
        <f>SUMPRODUCT(D$1:S$1, D439:S439) / SUM(D439:S439)</f>
        <v>#DIV/0!</v>
      </c>
      <c r="V439" s="3">
        <f>SUM(D439:S439)</f>
        <v>0</v>
      </c>
    </row>
  </sheetData>
  <conditionalFormatting sqref="V1:V1048576">
    <cfRule type="cellIs" dxfId="11" priority="1" operator="between">
      <formula>1</formula>
      <formula>24</formula>
    </cfRule>
    <cfRule type="cellIs" dxfId="10" priority="2" operator="between">
      <formula>24</formula>
      <formula>240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Keren-Happuch Ighalo</dc:creator>
  <cp:lastModifiedBy>Keren-Happuch Ighalo</cp:lastModifiedBy>
  <dcterms:created xsi:type="dcterms:W3CDTF">2025-03-16T17:36:01Z</dcterms:created>
  <dcterms:modified xsi:type="dcterms:W3CDTF">2026-01-09T18:34:27Z</dcterms:modified>
</cp:coreProperties>
</file>