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QMEE\"/>
    </mc:Choice>
  </mc:AlternateContent>
  <xr:revisionPtr revIDLastSave="0" documentId="13_ncr:1_{C5C00E02-1B68-4340-AC98-1E7E65CE6918}" xr6:coauthVersionLast="47" xr6:coauthVersionMax="47" xr10:uidLastSave="{00000000-0000-0000-0000-000000000000}"/>
  <bookViews>
    <workbookView xWindow="3120" yWindow="2590" windowWidth="19200" windowHeight="11430" xr2:uid="{2DC7AF96-ECDD-411C-B45C-0D9BF190AC18}"/>
  </bookViews>
  <sheets>
    <sheet name="Data" sheetId="3" r:id="rId1"/>
    <sheet name="OG_Data" sheetId="5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24" i="3" l="1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C370" i="3"/>
  <c r="AD370" i="3"/>
  <c r="AK370" i="3"/>
  <c r="AL370" i="3"/>
  <c r="AM370" i="3"/>
  <c r="AC347" i="3"/>
  <c r="AC328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K278" i="3"/>
  <c r="AL278" i="3"/>
  <c r="AK279" i="3"/>
  <c r="AL279" i="3"/>
  <c r="AK280" i="3"/>
  <c r="AL280" i="3"/>
  <c r="AK281" i="3"/>
  <c r="AL281" i="3"/>
  <c r="AK282" i="3"/>
  <c r="AL282" i="3"/>
  <c r="AK283" i="3"/>
  <c r="AL283" i="3"/>
  <c r="AK284" i="3"/>
  <c r="AL284" i="3"/>
  <c r="AK285" i="3"/>
  <c r="AL285" i="3"/>
  <c r="AC278" i="3"/>
  <c r="AD278" i="3"/>
  <c r="AC279" i="3"/>
  <c r="AD279" i="3"/>
  <c r="AC280" i="3"/>
  <c r="AD280" i="3"/>
  <c r="AC281" i="3"/>
  <c r="AD281" i="3"/>
  <c r="AC282" i="3"/>
  <c r="AD282" i="3"/>
  <c r="AC283" i="3"/>
  <c r="AD283" i="3"/>
  <c r="AC284" i="3"/>
  <c r="AD284" i="3"/>
  <c r="AC285" i="3"/>
  <c r="AD285" i="3"/>
  <c r="AL301" i="3"/>
  <c r="AK301" i="3"/>
  <c r="AD301" i="3"/>
  <c r="AC301" i="3"/>
  <c r="AL300" i="3"/>
  <c r="AK300" i="3"/>
  <c r="AD300" i="3"/>
  <c r="AC300" i="3"/>
  <c r="AL299" i="3"/>
  <c r="AK299" i="3"/>
  <c r="AD299" i="3"/>
  <c r="AC299" i="3"/>
  <c r="AL298" i="3"/>
  <c r="AK298" i="3"/>
  <c r="AD298" i="3"/>
  <c r="AC298" i="3"/>
  <c r="AL297" i="3"/>
  <c r="AK297" i="3"/>
  <c r="AD297" i="3"/>
  <c r="AC297" i="3"/>
  <c r="AL296" i="3"/>
  <c r="AK296" i="3"/>
  <c r="AD296" i="3"/>
  <c r="AC296" i="3"/>
  <c r="AL295" i="3"/>
  <c r="AK295" i="3"/>
  <c r="AD295" i="3"/>
  <c r="AC295" i="3"/>
  <c r="AL294" i="3"/>
  <c r="AK294" i="3"/>
  <c r="AD294" i="3"/>
  <c r="AC294" i="3"/>
  <c r="AC293" i="3"/>
  <c r="AD293" i="3"/>
  <c r="AK293" i="3"/>
  <c r="AL293" i="3"/>
  <c r="AC292" i="3"/>
  <c r="AD292" i="3"/>
  <c r="AK292" i="3"/>
  <c r="AL292" i="3"/>
  <c r="AC291" i="3"/>
  <c r="AD291" i="3"/>
  <c r="AK291" i="3"/>
  <c r="AL291" i="3"/>
  <c r="AC290" i="3"/>
  <c r="AD290" i="3"/>
  <c r="AK290" i="3"/>
  <c r="AL290" i="3"/>
  <c r="AC289" i="3"/>
  <c r="AD289" i="3"/>
  <c r="AK289" i="3"/>
  <c r="AL289" i="3"/>
  <c r="AC288" i="3"/>
  <c r="AD288" i="3"/>
  <c r="AK288" i="3"/>
  <c r="AL288" i="3"/>
  <c r="AC287" i="3"/>
  <c r="AD287" i="3"/>
  <c r="AK287" i="3"/>
  <c r="AL287" i="3"/>
  <c r="AC286" i="3"/>
  <c r="AD286" i="3"/>
  <c r="AK286" i="3"/>
  <c r="AL286" i="3"/>
  <c r="AC275" i="3"/>
  <c r="AC276" i="3"/>
  <c r="AC277" i="3"/>
  <c r="AD275" i="3"/>
  <c r="AD276" i="3"/>
  <c r="AD277" i="3"/>
  <c r="AK275" i="3"/>
  <c r="AK276" i="3"/>
  <c r="AK277" i="3"/>
  <c r="AL275" i="3"/>
  <c r="AL276" i="3"/>
  <c r="AL277" i="3"/>
  <c r="AC271" i="3"/>
  <c r="AC272" i="3"/>
  <c r="AC273" i="3"/>
  <c r="AC274" i="3"/>
  <c r="AD271" i="3"/>
  <c r="AD272" i="3"/>
  <c r="AD273" i="3"/>
  <c r="AD274" i="3"/>
  <c r="AK271" i="3"/>
  <c r="AK272" i="3"/>
  <c r="AK273" i="3"/>
  <c r="AK274" i="3"/>
  <c r="AL271" i="3"/>
  <c r="AL272" i="3"/>
  <c r="AL273" i="3"/>
  <c r="AL274" i="3"/>
  <c r="AC270" i="3"/>
  <c r="AD270" i="3"/>
  <c r="AK270" i="3"/>
  <c r="AL270" i="3"/>
  <c r="AC269" i="3"/>
  <c r="AD269" i="3"/>
  <c r="AK269" i="3"/>
  <c r="AL269" i="3"/>
  <c r="AC268" i="3"/>
  <c r="AD268" i="3"/>
  <c r="AK268" i="3"/>
  <c r="AL268" i="3"/>
  <c r="AC267" i="3"/>
  <c r="AD267" i="3"/>
  <c r="AK267" i="3"/>
  <c r="AL267" i="3"/>
  <c r="AC266" i="3"/>
  <c r="AD266" i="3"/>
  <c r="AK266" i="3"/>
  <c r="AL266" i="3"/>
  <c r="AC265" i="3"/>
  <c r="AD265" i="3"/>
  <c r="AK265" i="3"/>
  <c r="AL265" i="3"/>
  <c r="AC264" i="3"/>
  <c r="AD264" i="3"/>
  <c r="AK264" i="3"/>
  <c r="AL264" i="3"/>
  <c r="AC263" i="3"/>
  <c r="AD263" i="3"/>
  <c r="AK263" i="3"/>
  <c r="AL263" i="3"/>
  <c r="AC262" i="3"/>
  <c r="AD262" i="3"/>
  <c r="AK262" i="3"/>
  <c r="AL262" i="3"/>
  <c r="AC261" i="3"/>
  <c r="AD261" i="3"/>
  <c r="AK261" i="3"/>
  <c r="AL261" i="3"/>
  <c r="AC260" i="3"/>
  <c r="AD260" i="3"/>
  <c r="AK260" i="3"/>
  <c r="AL260" i="3"/>
  <c r="AC259" i="3"/>
  <c r="AD259" i="3"/>
  <c r="AK259" i="3"/>
  <c r="AL259" i="3"/>
  <c r="AC258" i="3"/>
  <c r="AD258" i="3"/>
  <c r="AK258" i="3"/>
  <c r="AL258" i="3"/>
  <c r="AC257" i="3"/>
  <c r="AD257" i="3"/>
  <c r="AK257" i="3"/>
  <c r="AL257" i="3"/>
  <c r="AC256" i="3"/>
  <c r="AD256" i="3"/>
  <c r="AK256" i="3"/>
  <c r="AL256" i="3"/>
  <c r="AC255" i="3"/>
  <c r="AD255" i="3"/>
  <c r="AK255" i="3"/>
  <c r="AL255" i="3"/>
  <c r="AC251" i="3"/>
  <c r="AC252" i="3"/>
  <c r="AC253" i="3"/>
  <c r="AC254" i="3"/>
  <c r="AD251" i="3"/>
  <c r="AD252" i="3"/>
  <c r="AD253" i="3"/>
  <c r="AD254" i="3"/>
  <c r="AK251" i="3"/>
  <c r="AK252" i="3"/>
  <c r="AK253" i="3"/>
  <c r="AK254" i="3"/>
  <c r="AL251" i="3"/>
  <c r="AL252" i="3"/>
  <c r="AL253" i="3"/>
  <c r="AL254" i="3"/>
  <c r="AC248" i="3"/>
  <c r="AC249" i="3"/>
  <c r="AC250" i="3"/>
  <c r="AD248" i="3"/>
  <c r="AD249" i="3"/>
  <c r="AD250" i="3"/>
  <c r="AK248" i="3"/>
  <c r="AK249" i="3"/>
  <c r="AK250" i="3"/>
  <c r="AL248" i="3"/>
  <c r="AL249" i="3"/>
  <c r="AL250" i="3"/>
  <c r="AC247" i="3"/>
  <c r="AD247" i="3"/>
  <c r="AK247" i="3"/>
  <c r="AL247" i="3"/>
  <c r="AC246" i="3"/>
  <c r="AD246" i="3"/>
  <c r="AK246" i="3"/>
  <c r="AL246" i="3"/>
  <c r="AC245" i="3"/>
  <c r="AD245" i="3"/>
  <c r="AK245" i="3"/>
  <c r="AL245" i="3"/>
  <c r="AC244" i="3"/>
  <c r="AD244" i="3"/>
  <c r="AK244" i="3"/>
  <c r="AL244" i="3"/>
  <c r="AC243" i="3"/>
  <c r="AD243" i="3"/>
  <c r="AK243" i="3"/>
  <c r="AL243" i="3"/>
  <c r="AC242" i="3"/>
  <c r="AD242" i="3"/>
  <c r="AK242" i="3"/>
  <c r="AL242" i="3"/>
  <c r="AC241" i="3"/>
  <c r="AD241" i="3"/>
  <c r="AK241" i="3"/>
  <c r="AL241" i="3"/>
  <c r="AC240" i="3"/>
  <c r="AD240" i="3"/>
  <c r="AK240" i="3"/>
  <c r="AL240" i="3"/>
  <c r="AC239" i="3"/>
  <c r="AD239" i="3"/>
  <c r="AK239" i="3"/>
  <c r="AL239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C206" i="3"/>
  <c r="AD206" i="3"/>
  <c r="AK206" i="3"/>
  <c r="AL206" i="3"/>
  <c r="AK176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7" i="3"/>
  <c r="AK178" i="3"/>
  <c r="AK179" i="3"/>
  <c r="AK180" i="3"/>
  <c r="AK181" i="3"/>
  <c r="AK182" i="3"/>
  <c r="AK183" i="3"/>
  <c r="AK184" i="3"/>
  <c r="AK185" i="3"/>
  <c r="AK186" i="3"/>
  <c r="AK2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C124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C118" i="3"/>
  <c r="AC128" i="3"/>
  <c r="AC129" i="3"/>
  <c r="AC130" i="3"/>
  <c r="AC131" i="3"/>
  <c r="AD128" i="3"/>
  <c r="AD129" i="3"/>
  <c r="AD130" i="3"/>
  <c r="AD131" i="3"/>
  <c r="AC125" i="3"/>
  <c r="AC126" i="3"/>
  <c r="AC127" i="3"/>
  <c r="AD124" i="3"/>
  <c r="AD125" i="3"/>
  <c r="AD126" i="3"/>
  <c r="AD127" i="3"/>
  <c r="AC120" i="3"/>
  <c r="AC121" i="3"/>
  <c r="AC122" i="3"/>
  <c r="AC123" i="3"/>
  <c r="AD120" i="3"/>
  <c r="AD121" i="3"/>
  <c r="AD122" i="3"/>
  <c r="AD123" i="3"/>
  <c r="AC119" i="3"/>
  <c r="AD119" i="3"/>
  <c r="AC117" i="3"/>
  <c r="AD117" i="3"/>
  <c r="AC116" i="3"/>
  <c r="AD116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" i="3"/>
  <c r="U2" i="5"/>
  <c r="V2" i="5"/>
  <c r="U3" i="5"/>
  <c r="V3" i="5"/>
  <c r="U4" i="5"/>
  <c r="V4" i="5"/>
  <c r="U5" i="5"/>
  <c r="V5" i="5"/>
  <c r="U8" i="5"/>
  <c r="V8" i="5"/>
  <c r="U9" i="5"/>
  <c r="V9" i="5"/>
  <c r="U10" i="5"/>
  <c r="V10" i="5"/>
  <c r="U11" i="5"/>
  <c r="V11" i="5"/>
  <c r="U14" i="5"/>
  <c r="V14" i="5"/>
  <c r="U15" i="5"/>
  <c r="V15" i="5"/>
  <c r="U16" i="5"/>
  <c r="V16" i="5"/>
  <c r="U17" i="5"/>
  <c r="V17" i="5"/>
  <c r="U20" i="5"/>
  <c r="V20" i="5"/>
  <c r="U21" i="5"/>
  <c r="V21" i="5"/>
  <c r="U22" i="5"/>
  <c r="V22" i="5"/>
  <c r="U23" i="5"/>
  <c r="V23" i="5"/>
  <c r="U26" i="5"/>
  <c r="V26" i="5"/>
  <c r="U27" i="5"/>
  <c r="V27" i="5"/>
  <c r="U31" i="5"/>
  <c r="V31" i="5"/>
  <c r="U32" i="5"/>
  <c r="V32" i="5"/>
  <c r="U36" i="5"/>
  <c r="V36" i="5"/>
  <c r="U37" i="5"/>
  <c r="V37" i="5"/>
  <c r="U41" i="5"/>
  <c r="V41" i="5"/>
  <c r="U42" i="5"/>
  <c r="V42" i="5"/>
  <c r="U45" i="5"/>
  <c r="V45" i="5"/>
  <c r="U46" i="5"/>
  <c r="V46" i="5"/>
  <c r="U51" i="5"/>
  <c r="V51" i="5"/>
  <c r="U52" i="5"/>
  <c r="V52" i="5"/>
  <c r="U53" i="5"/>
  <c r="V53" i="5"/>
  <c r="U54" i="5"/>
  <c r="V54" i="5"/>
  <c r="U57" i="5"/>
  <c r="V57" i="5"/>
  <c r="U58" i="5"/>
  <c r="V58" i="5"/>
  <c r="U59" i="5"/>
  <c r="V59" i="5"/>
  <c r="U60" i="5"/>
  <c r="V60" i="5"/>
  <c r="U62" i="5"/>
  <c r="V62" i="5"/>
  <c r="U63" i="5"/>
  <c r="V63" i="5"/>
  <c r="U64" i="5"/>
  <c r="V64" i="5"/>
  <c r="U65" i="5"/>
  <c r="V65" i="5"/>
  <c r="U68" i="5"/>
  <c r="V68" i="5"/>
  <c r="U69" i="5"/>
  <c r="V69" i="5"/>
  <c r="U70" i="5"/>
  <c r="V70" i="5"/>
  <c r="U71" i="5"/>
  <c r="V71" i="5"/>
  <c r="U75" i="5"/>
  <c r="V75" i="5"/>
  <c r="U76" i="5"/>
  <c r="V76" i="5"/>
  <c r="U77" i="5"/>
  <c r="V77" i="5"/>
  <c r="U78" i="5"/>
  <c r="V78" i="5"/>
  <c r="U81" i="5"/>
  <c r="V81" i="5"/>
  <c r="U82" i="5"/>
  <c r="V82" i="5"/>
  <c r="U83" i="5"/>
  <c r="V83" i="5"/>
  <c r="U84" i="5"/>
  <c r="V84" i="5"/>
  <c r="U86" i="5"/>
  <c r="V86" i="5"/>
  <c r="U87" i="5"/>
  <c r="V87" i="5"/>
  <c r="U88" i="5"/>
  <c r="V88" i="5"/>
  <c r="U89" i="5"/>
  <c r="V89" i="5"/>
  <c r="U92" i="5"/>
  <c r="V92" i="5"/>
  <c r="U93" i="5"/>
  <c r="V93" i="5"/>
  <c r="U94" i="5"/>
  <c r="V94" i="5"/>
  <c r="U95" i="5"/>
  <c r="V95" i="5"/>
  <c r="U99" i="5"/>
  <c r="V99" i="5"/>
  <c r="U100" i="5"/>
  <c r="V100" i="5"/>
  <c r="U101" i="5"/>
  <c r="V101" i="5"/>
  <c r="U102" i="5"/>
  <c r="V102" i="5"/>
  <c r="U105" i="5"/>
  <c r="V105" i="5"/>
  <c r="U106" i="5"/>
  <c r="V106" i="5"/>
  <c r="U107" i="5"/>
  <c r="V107" i="5"/>
  <c r="U108" i="5"/>
  <c r="V108" i="5"/>
  <c r="U110" i="5"/>
  <c r="V110" i="5"/>
  <c r="U111" i="5"/>
  <c r="V111" i="5"/>
  <c r="U112" i="5"/>
  <c r="V112" i="5"/>
  <c r="U113" i="5"/>
  <c r="V113" i="5"/>
  <c r="U116" i="5"/>
  <c r="V116" i="5"/>
  <c r="U117" i="5"/>
  <c r="V117" i="5"/>
  <c r="U118" i="5"/>
  <c r="V118" i="5"/>
  <c r="U119" i="5"/>
  <c r="V119" i="5"/>
  <c r="U123" i="5"/>
  <c r="V123" i="5"/>
  <c r="U124" i="5"/>
  <c r="V124" i="5"/>
  <c r="U125" i="5"/>
  <c r="V125" i="5"/>
  <c r="U126" i="5"/>
  <c r="V126" i="5"/>
  <c r="U129" i="5"/>
  <c r="V129" i="5"/>
  <c r="U130" i="5"/>
  <c r="V130" i="5"/>
  <c r="U131" i="5"/>
  <c r="V131" i="5"/>
  <c r="U132" i="5"/>
  <c r="V132" i="5"/>
  <c r="U134" i="5"/>
  <c r="V134" i="5"/>
  <c r="U135" i="5"/>
  <c r="V135" i="5"/>
  <c r="U136" i="5"/>
  <c r="V136" i="5"/>
  <c r="U137" i="5"/>
  <c r="V137" i="5"/>
  <c r="U140" i="5"/>
  <c r="V140" i="5"/>
  <c r="U141" i="5"/>
  <c r="V141" i="5"/>
  <c r="U142" i="5"/>
  <c r="V142" i="5"/>
  <c r="U143" i="5"/>
  <c r="V143" i="5"/>
  <c r="U146" i="5"/>
  <c r="V146" i="5"/>
  <c r="U147" i="5"/>
  <c r="V147" i="5"/>
  <c r="U150" i="5"/>
  <c r="V150" i="5"/>
  <c r="U151" i="5"/>
  <c r="V151" i="5"/>
  <c r="U154" i="5"/>
  <c r="V154" i="5"/>
  <c r="U155" i="5"/>
  <c r="V155" i="5"/>
  <c r="U158" i="5"/>
  <c r="V158" i="5"/>
  <c r="U159" i="5"/>
  <c r="V159" i="5"/>
  <c r="U163" i="5"/>
  <c r="V163" i="5"/>
  <c r="U164" i="5"/>
  <c r="V164" i="5"/>
  <c r="U165" i="5"/>
  <c r="V165" i="5"/>
  <c r="U166" i="5"/>
  <c r="V166" i="5"/>
  <c r="U169" i="5"/>
  <c r="V169" i="5"/>
  <c r="U170" i="5"/>
  <c r="V170" i="5"/>
  <c r="U171" i="5"/>
  <c r="V171" i="5"/>
  <c r="U172" i="5"/>
  <c r="V172" i="5"/>
  <c r="U174" i="5"/>
  <c r="V174" i="5"/>
  <c r="U175" i="5"/>
  <c r="V175" i="5"/>
  <c r="U176" i="5"/>
  <c r="V176" i="5"/>
  <c r="U177" i="5"/>
  <c r="V177" i="5"/>
  <c r="U180" i="5"/>
  <c r="V180" i="5"/>
  <c r="U181" i="5"/>
  <c r="V181" i="5"/>
  <c r="U182" i="5"/>
  <c r="V182" i="5"/>
  <c r="U183" i="5"/>
  <c r="V183" i="5"/>
  <c r="U187" i="5"/>
  <c r="V187" i="5"/>
  <c r="U188" i="5"/>
  <c r="V188" i="5"/>
  <c r="U189" i="5"/>
  <c r="V189" i="5"/>
  <c r="U190" i="5"/>
  <c r="V190" i="5"/>
  <c r="U193" i="5"/>
  <c r="V193" i="5"/>
  <c r="U194" i="5"/>
  <c r="V194" i="5"/>
  <c r="U195" i="5"/>
  <c r="V195" i="5"/>
  <c r="U196" i="5"/>
  <c r="V196" i="5"/>
  <c r="U198" i="5"/>
  <c r="V198" i="5"/>
  <c r="U199" i="5"/>
  <c r="V199" i="5"/>
  <c r="U200" i="5"/>
  <c r="V200" i="5"/>
  <c r="U201" i="5"/>
  <c r="V201" i="5"/>
  <c r="U204" i="5"/>
  <c r="V204" i="5"/>
  <c r="U205" i="5"/>
  <c r="V205" i="5"/>
  <c r="U206" i="5"/>
  <c r="V206" i="5"/>
  <c r="U207" i="5"/>
  <c r="V207" i="5"/>
  <c r="U211" i="5"/>
  <c r="V211" i="5"/>
  <c r="U212" i="5"/>
  <c r="V212" i="5"/>
  <c r="U213" i="5"/>
  <c r="V213" i="5"/>
  <c r="U214" i="5"/>
  <c r="V214" i="5"/>
  <c r="U217" i="5"/>
  <c r="V217" i="5"/>
  <c r="U218" i="5"/>
  <c r="V218" i="5"/>
  <c r="U219" i="5"/>
  <c r="V219" i="5"/>
  <c r="U220" i="5"/>
  <c r="V220" i="5"/>
  <c r="U222" i="5"/>
  <c r="V222" i="5"/>
  <c r="U223" i="5"/>
  <c r="V223" i="5"/>
  <c r="U224" i="5"/>
  <c r="V224" i="5"/>
  <c r="U225" i="5"/>
  <c r="V225" i="5"/>
  <c r="U228" i="5"/>
  <c r="V228" i="5"/>
  <c r="U229" i="5"/>
  <c r="V229" i="5"/>
  <c r="U230" i="5"/>
  <c r="V230" i="5"/>
  <c r="U231" i="5"/>
  <c r="V231" i="5"/>
  <c r="U235" i="5"/>
  <c r="V235" i="5"/>
  <c r="U236" i="5"/>
  <c r="V236" i="5"/>
  <c r="U237" i="5"/>
  <c r="V237" i="5"/>
  <c r="U238" i="5"/>
  <c r="V238" i="5"/>
  <c r="U241" i="5"/>
  <c r="V241" i="5"/>
  <c r="U242" i="5"/>
  <c r="V242" i="5"/>
  <c r="U243" i="5"/>
  <c r="V243" i="5"/>
  <c r="U244" i="5"/>
  <c r="V244" i="5"/>
  <c r="U246" i="5"/>
  <c r="V246" i="5"/>
  <c r="U247" i="5"/>
  <c r="V247" i="5"/>
  <c r="U248" i="5"/>
  <c r="V248" i="5"/>
  <c r="U249" i="5"/>
  <c r="V249" i="5"/>
  <c r="U252" i="5"/>
  <c r="V252" i="5"/>
  <c r="U253" i="5"/>
  <c r="V253" i="5"/>
  <c r="U254" i="5"/>
  <c r="V254" i="5"/>
  <c r="U255" i="5"/>
  <c r="V255" i="5"/>
  <c r="U259" i="5"/>
  <c r="V259" i="5"/>
  <c r="U260" i="5"/>
  <c r="V260" i="5"/>
  <c r="U261" i="5"/>
  <c r="V261" i="5"/>
  <c r="U262" i="5"/>
  <c r="V262" i="5"/>
  <c r="U265" i="5"/>
  <c r="V265" i="5"/>
  <c r="U266" i="5"/>
  <c r="V266" i="5"/>
  <c r="U267" i="5"/>
  <c r="V267" i="5"/>
  <c r="U268" i="5"/>
  <c r="V268" i="5"/>
  <c r="U270" i="5"/>
  <c r="V270" i="5"/>
  <c r="U271" i="5"/>
  <c r="V271" i="5"/>
  <c r="U272" i="5"/>
  <c r="V272" i="5"/>
  <c r="U273" i="5"/>
  <c r="V273" i="5"/>
  <c r="U276" i="5"/>
  <c r="V276" i="5"/>
  <c r="U277" i="5"/>
  <c r="V277" i="5"/>
  <c r="U278" i="5"/>
  <c r="V278" i="5"/>
  <c r="U279" i="5"/>
  <c r="V279" i="5"/>
  <c r="U282" i="5"/>
  <c r="V282" i="5"/>
  <c r="U283" i="5"/>
  <c r="V283" i="5"/>
  <c r="U286" i="5"/>
  <c r="V286" i="5"/>
  <c r="U287" i="5"/>
  <c r="V287" i="5"/>
  <c r="U290" i="5"/>
  <c r="V290" i="5"/>
  <c r="U291" i="5"/>
  <c r="V291" i="5"/>
  <c r="U294" i="5"/>
  <c r="V294" i="5"/>
  <c r="U295" i="5"/>
  <c r="V295" i="5"/>
  <c r="U299" i="5"/>
  <c r="V299" i="5"/>
  <c r="U300" i="5"/>
  <c r="V300" i="5"/>
  <c r="U301" i="5"/>
  <c r="V301" i="5"/>
  <c r="U302" i="5"/>
  <c r="V302" i="5"/>
  <c r="U305" i="5"/>
  <c r="V305" i="5"/>
  <c r="U306" i="5"/>
  <c r="V306" i="5"/>
  <c r="U307" i="5"/>
  <c r="V307" i="5"/>
  <c r="U308" i="5"/>
  <c r="V308" i="5"/>
  <c r="U310" i="5"/>
  <c r="V310" i="5"/>
  <c r="U311" i="5"/>
  <c r="V311" i="5"/>
  <c r="U312" i="5"/>
  <c r="V312" i="5"/>
  <c r="U313" i="5"/>
  <c r="V313" i="5"/>
  <c r="U316" i="5"/>
  <c r="V316" i="5"/>
  <c r="U317" i="5"/>
  <c r="V317" i="5"/>
  <c r="U318" i="5"/>
  <c r="V318" i="5"/>
  <c r="U319" i="5"/>
  <c r="V319" i="5"/>
  <c r="U323" i="5"/>
  <c r="V323" i="5"/>
  <c r="U324" i="5"/>
  <c r="V324" i="5"/>
  <c r="U325" i="5"/>
  <c r="V325" i="5"/>
  <c r="U326" i="5"/>
  <c r="V326" i="5"/>
  <c r="U329" i="5"/>
  <c r="V329" i="5"/>
  <c r="U330" i="5"/>
  <c r="V330" i="5"/>
  <c r="U331" i="5"/>
  <c r="V331" i="5"/>
  <c r="U332" i="5"/>
  <c r="V332" i="5"/>
  <c r="U334" i="5"/>
  <c r="V334" i="5"/>
  <c r="U335" i="5"/>
  <c r="V335" i="5"/>
  <c r="U336" i="5"/>
  <c r="V336" i="5"/>
  <c r="U337" i="5"/>
  <c r="V337" i="5"/>
  <c r="U340" i="5"/>
  <c r="V340" i="5"/>
  <c r="U341" i="5"/>
  <c r="V341" i="5"/>
  <c r="U342" i="5"/>
  <c r="V342" i="5"/>
  <c r="U343" i="5"/>
  <c r="V343" i="5"/>
  <c r="U347" i="5"/>
  <c r="V347" i="5"/>
  <c r="U348" i="5"/>
  <c r="V348" i="5"/>
  <c r="U349" i="5"/>
  <c r="V349" i="5"/>
  <c r="U350" i="5"/>
  <c r="V350" i="5"/>
  <c r="U353" i="5"/>
  <c r="V353" i="5"/>
  <c r="U354" i="5"/>
  <c r="V354" i="5"/>
  <c r="U355" i="5"/>
  <c r="V355" i="5"/>
  <c r="U356" i="5"/>
  <c r="V356" i="5"/>
  <c r="U358" i="5"/>
  <c r="V358" i="5"/>
  <c r="U359" i="5"/>
  <c r="V359" i="5"/>
  <c r="U360" i="5"/>
  <c r="V360" i="5"/>
  <c r="U361" i="5"/>
  <c r="V361" i="5"/>
  <c r="U364" i="5"/>
  <c r="V364" i="5"/>
  <c r="U365" i="5"/>
  <c r="V365" i="5"/>
  <c r="U366" i="5"/>
  <c r="V366" i="5"/>
  <c r="U367" i="5"/>
  <c r="V367" i="5"/>
  <c r="U371" i="5"/>
  <c r="V371" i="5"/>
  <c r="U372" i="5"/>
  <c r="V372" i="5"/>
  <c r="U373" i="5"/>
  <c r="V373" i="5"/>
  <c r="U374" i="5"/>
  <c r="V374" i="5"/>
  <c r="U377" i="5"/>
  <c r="V377" i="5"/>
  <c r="U378" i="5"/>
  <c r="V378" i="5"/>
  <c r="U379" i="5"/>
  <c r="V379" i="5"/>
  <c r="U380" i="5"/>
  <c r="V380" i="5"/>
  <c r="U382" i="5"/>
  <c r="V382" i="5"/>
  <c r="U383" i="5"/>
  <c r="V383" i="5"/>
  <c r="U384" i="5"/>
  <c r="V384" i="5"/>
  <c r="U385" i="5"/>
  <c r="V385" i="5"/>
  <c r="U388" i="5"/>
  <c r="V388" i="5"/>
  <c r="U389" i="5"/>
  <c r="V389" i="5"/>
  <c r="U390" i="5"/>
  <c r="V390" i="5"/>
  <c r="U391" i="5"/>
  <c r="V391" i="5"/>
  <c r="U395" i="5"/>
  <c r="V395" i="5"/>
  <c r="U396" i="5"/>
  <c r="V396" i="5"/>
  <c r="U397" i="5"/>
  <c r="V397" i="5"/>
  <c r="U398" i="5"/>
  <c r="V398" i="5"/>
  <c r="U401" i="5"/>
  <c r="V401" i="5"/>
  <c r="U402" i="5"/>
  <c r="V402" i="5"/>
  <c r="U403" i="5"/>
  <c r="V403" i="5"/>
  <c r="U404" i="5"/>
  <c r="V404" i="5"/>
  <c r="U406" i="5"/>
  <c r="V406" i="5"/>
  <c r="U407" i="5"/>
  <c r="V407" i="5"/>
  <c r="U408" i="5"/>
  <c r="V408" i="5"/>
  <c r="U409" i="5"/>
  <c r="V409" i="5"/>
  <c r="U412" i="5"/>
  <c r="V412" i="5"/>
  <c r="U413" i="5"/>
  <c r="V413" i="5"/>
  <c r="U414" i="5"/>
  <c r="V414" i="5"/>
  <c r="U415" i="5"/>
  <c r="V415" i="5"/>
  <c r="U419" i="5"/>
  <c r="V419" i="5"/>
  <c r="U420" i="5"/>
  <c r="V420" i="5"/>
  <c r="U421" i="5"/>
  <c r="V421" i="5"/>
  <c r="U422" i="5"/>
  <c r="V422" i="5"/>
  <c r="U425" i="5"/>
  <c r="V425" i="5"/>
  <c r="U426" i="5"/>
  <c r="V426" i="5"/>
  <c r="U427" i="5"/>
  <c r="V427" i="5"/>
  <c r="U428" i="5"/>
  <c r="V428" i="5"/>
  <c r="U430" i="5"/>
  <c r="V430" i="5"/>
  <c r="U431" i="5"/>
  <c r="V431" i="5"/>
  <c r="U432" i="5"/>
  <c r="V432" i="5"/>
  <c r="U433" i="5"/>
  <c r="V433" i="5"/>
  <c r="U436" i="5"/>
  <c r="V436" i="5"/>
  <c r="U437" i="5"/>
  <c r="V437" i="5"/>
  <c r="U438" i="5"/>
  <c r="V438" i="5"/>
  <c r="U439" i="5"/>
  <c r="V439" i="5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17" i="3"/>
  <c r="AD18" i="3"/>
  <c r="AD19" i="3"/>
  <c r="AD20" i="3"/>
  <c r="AD21" i="3"/>
  <c r="AD22" i="3"/>
  <c r="AD23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I370" i="3"/>
  <c r="AI258" i="3"/>
  <c r="AI66" i="3"/>
  <c r="AI292" i="3"/>
  <c r="AI130" i="3"/>
  <c r="AI131" i="3"/>
  <c r="AI263" i="3"/>
  <c r="AI261" i="3"/>
  <c r="AM278" i="3"/>
  <c r="AI67" i="3"/>
  <c r="AI119" i="3"/>
  <c r="AM260" i="3"/>
  <c r="AI89" i="3"/>
  <c r="AI248" i="3"/>
  <c r="AI88" i="3"/>
  <c r="AI381" i="3"/>
  <c r="AI352" i="3"/>
  <c r="AM374" i="3"/>
  <c r="AM345" i="3"/>
  <c r="AM280" i="3"/>
  <c r="AI300" i="3"/>
  <c r="AI183" i="3"/>
  <c r="AM406" i="3"/>
  <c r="AM376" i="3"/>
  <c r="AM347" i="3"/>
  <c r="AM317" i="3"/>
  <c r="AI209" i="3"/>
  <c r="AM375" i="3"/>
  <c r="AM346" i="3"/>
  <c r="AI267" i="3"/>
  <c r="AI285" i="3"/>
  <c r="AI247" i="3"/>
  <c r="AI214" i="3"/>
  <c r="AI181" i="3"/>
  <c r="AI85" i="3"/>
  <c r="AI244" i="3"/>
  <c r="AI180" i="3"/>
  <c r="AI179" i="3"/>
  <c r="AI116" i="3"/>
  <c r="AI240" i="3"/>
  <c r="AI299" i="3"/>
  <c r="AM438" i="3"/>
  <c r="AI71" i="3"/>
  <c r="AI243" i="3"/>
  <c r="AM290" i="3"/>
  <c r="AI313" i="3"/>
  <c r="AI77" i="3"/>
  <c r="AI222" i="3"/>
  <c r="AI312" i="3"/>
  <c r="AI76" i="3"/>
  <c r="AI221" i="3"/>
  <c r="AI311" i="3"/>
  <c r="AI75" i="3"/>
  <c r="AI310" i="3"/>
  <c r="AI309" i="3"/>
  <c r="AI308" i="3"/>
  <c r="AI437" i="3"/>
  <c r="AI405" i="3"/>
  <c r="AI375" i="3"/>
  <c r="AI346" i="3"/>
  <c r="AI274" i="3"/>
  <c r="AI273" i="3"/>
  <c r="AI129" i="3"/>
  <c r="AI272" i="3"/>
  <c r="AI106" i="3"/>
  <c r="AI178" i="3"/>
  <c r="AI177" i="3"/>
  <c r="AI301" i="3"/>
  <c r="AI144" i="3"/>
  <c r="AI255" i="3"/>
  <c r="AI268" i="3"/>
  <c r="AI108" i="3"/>
  <c r="AI174" i="3"/>
  <c r="AI173" i="3"/>
  <c r="AI262" i="3"/>
  <c r="AI63" i="3"/>
  <c r="AI109" i="3"/>
  <c r="AI172" i="3"/>
  <c r="AI140" i="3"/>
  <c r="AI271" i="3"/>
  <c r="AI176" i="3"/>
  <c r="AI295" i="3"/>
  <c r="AI65" i="3"/>
  <c r="AI142" i="3"/>
  <c r="AI323" i="3"/>
  <c r="AI64" i="3"/>
  <c r="AI141" i="3"/>
  <c r="AI420" i="3"/>
  <c r="AI390" i="3"/>
  <c r="AI361" i="3"/>
  <c r="AI329" i="3"/>
  <c r="AI74" i="3"/>
  <c r="AI100" i="3"/>
  <c r="AI101" i="3"/>
  <c r="AI259" i="3"/>
  <c r="AI298" i="3"/>
  <c r="AI215" i="3"/>
  <c r="AI293" i="3"/>
  <c r="AI266" i="3"/>
  <c r="AI103" i="3"/>
  <c r="AI260" i="3"/>
  <c r="AI207" i="3"/>
  <c r="AI307" i="3"/>
  <c r="AI102" i="3"/>
  <c r="AI242" i="3"/>
  <c r="AI99" i="3"/>
  <c r="AM435" i="3"/>
  <c r="AI414" i="3"/>
  <c r="AI413" i="3"/>
  <c r="AI383" i="3"/>
  <c r="AI354" i="3"/>
  <c r="AI322" i="3"/>
  <c r="AI315" i="3"/>
  <c r="AI219" i="3"/>
  <c r="AI123" i="3"/>
  <c r="AI249" i="3"/>
  <c r="AI290" i="3"/>
  <c r="AI419" i="3"/>
  <c r="AI389" i="3"/>
  <c r="AI360" i="3"/>
  <c r="AI328" i="3"/>
  <c r="AI195" i="3"/>
  <c r="AI163" i="3"/>
  <c r="AI114" i="3"/>
  <c r="AI78" i="3"/>
  <c r="AI245" i="3"/>
  <c r="AI412" i="3"/>
  <c r="AI382" i="3"/>
  <c r="AI353" i="3"/>
  <c r="AI321" i="3"/>
  <c r="AI314" i="3"/>
  <c r="AI120" i="3"/>
  <c r="AI73" i="3"/>
  <c r="AI246" i="3"/>
  <c r="AI91" i="3"/>
  <c r="AI250" i="3"/>
  <c r="AI122" i="3"/>
  <c r="AI90" i="3"/>
  <c r="AI121" i="3"/>
  <c r="AI265" i="3"/>
  <c r="AI186" i="3"/>
  <c r="AI154" i="3"/>
  <c r="AI279" i="3"/>
  <c r="AI185" i="3"/>
  <c r="AI153" i="3"/>
  <c r="AI436" i="3"/>
  <c r="AI306" i="3"/>
  <c r="AI117" i="3"/>
  <c r="AI184" i="3"/>
  <c r="AI152" i="3"/>
  <c r="AI213" i="3"/>
  <c r="AI278" i="3"/>
  <c r="AI151" i="3"/>
  <c r="AI212" i="3"/>
  <c r="AI104" i="3"/>
  <c r="AI150" i="3"/>
  <c r="AI175" i="3"/>
  <c r="AI143" i="3"/>
  <c r="AI72" i="3"/>
  <c r="AI149" i="3"/>
  <c r="AI210" i="3"/>
  <c r="AI105" i="3"/>
  <c r="AI148" i="3"/>
  <c r="AI294" i="3"/>
  <c r="AI205" i="3"/>
  <c r="AI70" i="3"/>
  <c r="AI208" i="3"/>
  <c r="AI204" i="3"/>
  <c r="AI69" i="3"/>
  <c r="AI146" i="3"/>
  <c r="AI68" i="3"/>
  <c r="AI145" i="3"/>
  <c r="AI167" i="3"/>
  <c r="AI276" i="3"/>
  <c r="AI388" i="3"/>
  <c r="AI359" i="3"/>
  <c r="AI198" i="3"/>
  <c r="AI166" i="3"/>
  <c r="AI417" i="3"/>
  <c r="AI387" i="3"/>
  <c r="AI358" i="3"/>
  <c r="AI326" i="3"/>
  <c r="AI81" i="3"/>
  <c r="AI197" i="3"/>
  <c r="AI165" i="3"/>
  <c r="AI133" i="3"/>
  <c r="AI270" i="3"/>
  <c r="AI297" i="3"/>
  <c r="AI416" i="3"/>
  <c r="AI386" i="3"/>
  <c r="AI357" i="3"/>
  <c r="AI325" i="3"/>
  <c r="AM263" i="3"/>
  <c r="AI411" i="3"/>
  <c r="AI111" i="3"/>
  <c r="AI200" i="3"/>
  <c r="AI168" i="3"/>
  <c r="AI136" i="3"/>
  <c r="AI228" i="3"/>
  <c r="AI277" i="3"/>
  <c r="AI289" i="3"/>
  <c r="AI199" i="3"/>
  <c r="AI135" i="3"/>
  <c r="AI227" i="3"/>
  <c r="AI418" i="3"/>
  <c r="AI327" i="3"/>
  <c r="AI112" i="3"/>
  <c r="AI82" i="3"/>
  <c r="AI134" i="3"/>
  <c r="AI113" i="3"/>
  <c r="AI80" i="3"/>
  <c r="AI196" i="3"/>
  <c r="AI164" i="3"/>
  <c r="AI132" i="3"/>
  <c r="AI206" i="3"/>
  <c r="AI291" i="3"/>
  <c r="AI284" i="3"/>
  <c r="AI415" i="3"/>
  <c r="AI385" i="3"/>
  <c r="AI356" i="3"/>
  <c r="AI324" i="3"/>
  <c r="AI264" i="3"/>
  <c r="AI384" i="3"/>
  <c r="AI355" i="3"/>
  <c r="AI83" i="3"/>
  <c r="AI226" i="3"/>
  <c r="AI257" i="3"/>
  <c r="AI127" i="3"/>
  <c r="AI161" i="3"/>
  <c r="AI115" i="3"/>
  <c r="AI192" i="3"/>
  <c r="AI160" i="3"/>
  <c r="AI282" i="3"/>
  <c r="AI191" i="3"/>
  <c r="AI159" i="3"/>
  <c r="AI410" i="3"/>
  <c r="AI380" i="3"/>
  <c r="AI351" i="3"/>
  <c r="AI320" i="3"/>
  <c r="AI190" i="3"/>
  <c r="AI158" i="3"/>
  <c r="AI254" i="3"/>
  <c r="AI281" i="3"/>
  <c r="AI409" i="3"/>
  <c r="AI379" i="3"/>
  <c r="AI350" i="3"/>
  <c r="AI319" i="3"/>
  <c r="AI189" i="3"/>
  <c r="AI157" i="3"/>
  <c r="AI218" i="3"/>
  <c r="AI253" i="3"/>
  <c r="AI286" i="3"/>
  <c r="AI408" i="3"/>
  <c r="AI378" i="3"/>
  <c r="AI349" i="3"/>
  <c r="AI318" i="3"/>
  <c r="AI188" i="3"/>
  <c r="AI156" i="3"/>
  <c r="AI217" i="3"/>
  <c r="AI252" i="3"/>
  <c r="AI280" i="3"/>
  <c r="AI407" i="3"/>
  <c r="AI377" i="3"/>
  <c r="AI348" i="3"/>
  <c r="AI211" i="3"/>
  <c r="AI147" i="3"/>
  <c r="AI275" i="3"/>
  <c r="AI225" i="3"/>
  <c r="AI126" i="3"/>
  <c r="AI224" i="3"/>
  <c r="AI125" i="3"/>
  <c r="AI223" i="3"/>
  <c r="AI316" i="3"/>
  <c r="AI124" i="3"/>
  <c r="AI194" i="3"/>
  <c r="AI162" i="3"/>
  <c r="AI283" i="3"/>
  <c r="AI193" i="3"/>
  <c r="AI187" i="3"/>
  <c r="AI155" i="3"/>
  <c r="AI216" i="3"/>
  <c r="AI251" i="3"/>
  <c r="AM266" i="3"/>
  <c r="AI438" i="3"/>
  <c r="AI406" i="3"/>
  <c r="AI376" i="3"/>
  <c r="AI347" i="3"/>
  <c r="AI84" i="3"/>
  <c r="AI139" i="3"/>
  <c r="AI374" i="3"/>
  <c r="AI345" i="3"/>
  <c r="AI128" i="3"/>
  <c r="AI287" i="3"/>
  <c r="AI435" i="3"/>
  <c r="AI404" i="3"/>
  <c r="AI344" i="3"/>
  <c r="AI236" i="3"/>
  <c r="AI428" i="3"/>
  <c r="AI398" i="3"/>
  <c r="AI367" i="3"/>
  <c r="AI337" i="3"/>
  <c r="AI235" i="3"/>
  <c r="AI427" i="3"/>
  <c r="AI397" i="3"/>
  <c r="AI336" i="3"/>
  <c r="AI234" i="3"/>
  <c r="AI426" i="3"/>
  <c r="AI396" i="3"/>
  <c r="AI366" i="3"/>
  <c r="AI335" i="3"/>
  <c r="AI233" i="3"/>
  <c r="AI425" i="3"/>
  <c r="AI395" i="3"/>
  <c r="AI365" i="3"/>
  <c r="AI334" i="3"/>
  <c r="AI232" i="3"/>
  <c r="AM281" i="3"/>
  <c r="AI424" i="3"/>
  <c r="AI394" i="3"/>
  <c r="AI364" i="3"/>
  <c r="AI333" i="3"/>
  <c r="AI62" i="3"/>
  <c r="AI87" i="3"/>
  <c r="AI203" i="3"/>
  <c r="AI171" i="3"/>
  <c r="AI231" i="3"/>
  <c r="AI256" i="3"/>
  <c r="AI423" i="3"/>
  <c r="AI393" i="3"/>
  <c r="AI332" i="3"/>
  <c r="AI61" i="3"/>
  <c r="AI110" i="3"/>
  <c r="AI86" i="3"/>
  <c r="AI202" i="3"/>
  <c r="AI170" i="3"/>
  <c r="AI138" i="3"/>
  <c r="AI230" i="3"/>
  <c r="AI422" i="3"/>
  <c r="AI392" i="3"/>
  <c r="AI363" i="3"/>
  <c r="AI331" i="3"/>
  <c r="AI98" i="3"/>
  <c r="AI182" i="3"/>
  <c r="AI241" i="3"/>
  <c r="AI434" i="3"/>
  <c r="AI403" i="3"/>
  <c r="AI373" i="3"/>
  <c r="AI343" i="3"/>
  <c r="AI97" i="3"/>
  <c r="AI433" i="3"/>
  <c r="AI402" i="3"/>
  <c r="AI372" i="3"/>
  <c r="AI342" i="3"/>
  <c r="AI239" i="3"/>
  <c r="AI79" i="3"/>
  <c r="AI96" i="3"/>
  <c r="AI432" i="3"/>
  <c r="AI371" i="3"/>
  <c r="AI341" i="3"/>
  <c r="AI95" i="3"/>
  <c r="AI431" i="3"/>
  <c r="AI401" i="3"/>
  <c r="AI340" i="3"/>
  <c r="AI94" i="3"/>
  <c r="AI238" i="3"/>
  <c r="AI288" i="3"/>
  <c r="AI430" i="3"/>
  <c r="AI400" i="3"/>
  <c r="AI369" i="3"/>
  <c r="AI339" i="3"/>
  <c r="AI93" i="3"/>
  <c r="AI237" i="3"/>
  <c r="AI429" i="3"/>
  <c r="AI399" i="3"/>
  <c r="AI368" i="3"/>
  <c r="AI338" i="3"/>
  <c r="AI107" i="3"/>
  <c r="AI60" i="3"/>
  <c r="AI201" i="3"/>
  <c r="AI169" i="3"/>
  <c r="AI137" i="3"/>
  <c r="AI229" i="3"/>
  <c r="AI269" i="3"/>
  <c r="AI296" i="3"/>
  <c r="AI421" i="3"/>
  <c r="AI391" i="3"/>
  <c r="AI362" i="3"/>
  <c r="AI330" i="3"/>
  <c r="AI92" i="3"/>
  <c r="AI220" i="3"/>
  <c r="AI305" i="3"/>
  <c r="AI304" i="3"/>
  <c r="AM284" i="3"/>
  <c r="AI303" i="3"/>
  <c r="AM437" i="3"/>
  <c r="AM436" i="3"/>
  <c r="AI317" i="3"/>
  <c r="AI302" i="3"/>
  <c r="AM289" i="3"/>
  <c r="AM404" i="3"/>
  <c r="AM344" i="3"/>
  <c r="AM314" i="3"/>
  <c r="AM434" i="3"/>
  <c r="AM403" i="3"/>
  <c r="AM343" i="3"/>
  <c r="AM313" i="3"/>
  <c r="AM433" i="3"/>
  <c r="AM402" i="3"/>
  <c r="AM342" i="3"/>
  <c r="AM312" i="3"/>
  <c r="AM432" i="3"/>
  <c r="AM371" i="3"/>
  <c r="AM341" i="3"/>
  <c r="AM405" i="3"/>
  <c r="AM316" i="3"/>
  <c r="AM315" i="3"/>
  <c r="AM373" i="3"/>
  <c r="AM372" i="3"/>
  <c r="AM311" i="3"/>
  <c r="AM298" i="3"/>
  <c r="AM300" i="3"/>
  <c r="AM294" i="3"/>
  <c r="AM301" i="3"/>
  <c r="AM292" i="3"/>
  <c r="AM295" i="3"/>
  <c r="AM299" i="3"/>
  <c r="AM296" i="3"/>
  <c r="AM297" i="3"/>
  <c r="AM401" i="3"/>
  <c r="AM400" i="3"/>
  <c r="AM339" i="3"/>
  <c r="AM399" i="3"/>
  <c r="AM308" i="3"/>
  <c r="AM428" i="3"/>
  <c r="AM337" i="3"/>
  <c r="AM397" i="3"/>
  <c r="AM366" i="3"/>
  <c r="AM425" i="3"/>
  <c r="AM304" i="3"/>
  <c r="AM394" i="3"/>
  <c r="AM303" i="3"/>
  <c r="AM423" i="3"/>
  <c r="AM332" i="3"/>
  <c r="AM392" i="3"/>
  <c r="AM331" i="3"/>
  <c r="AM391" i="3"/>
  <c r="AM330" i="3"/>
  <c r="AM390" i="3"/>
  <c r="AM361" i="3"/>
  <c r="AM389" i="3"/>
  <c r="AM359" i="3"/>
  <c r="AM358" i="3"/>
  <c r="AM386" i="3"/>
  <c r="AM357" i="3"/>
  <c r="AM354" i="3"/>
  <c r="AM310" i="3"/>
  <c r="AM430" i="3"/>
  <c r="AM309" i="3"/>
  <c r="AM429" i="3"/>
  <c r="AM368" i="3"/>
  <c r="AM367" i="3"/>
  <c r="AM306" i="3"/>
  <c r="AM426" i="3"/>
  <c r="AM305" i="3"/>
  <c r="AM365" i="3"/>
  <c r="AM424" i="3"/>
  <c r="AM333" i="3"/>
  <c r="AM328" i="3"/>
  <c r="AM327" i="3"/>
  <c r="AM384" i="3"/>
  <c r="AM323" i="3"/>
  <c r="AM383" i="3"/>
  <c r="AM321" i="3"/>
  <c r="AM411" i="3"/>
  <c r="AM352" i="3"/>
  <c r="AM380" i="3"/>
  <c r="AM409" i="3"/>
  <c r="AM379" i="3"/>
  <c r="AM319" i="3"/>
  <c r="AM408" i="3"/>
  <c r="AM378" i="3"/>
  <c r="AM349" i="3"/>
  <c r="AM377" i="3"/>
  <c r="AM431" i="3"/>
  <c r="AM340" i="3"/>
  <c r="AM369" i="3"/>
  <c r="AM338" i="3"/>
  <c r="AM398" i="3"/>
  <c r="AM307" i="3"/>
  <c r="AM427" i="3"/>
  <c r="AM336" i="3"/>
  <c r="AM396" i="3"/>
  <c r="AM335" i="3"/>
  <c r="AM395" i="3"/>
  <c r="AM334" i="3"/>
  <c r="AM364" i="3"/>
  <c r="AM393" i="3"/>
  <c r="AM302" i="3"/>
  <c r="AM422" i="3"/>
  <c r="AM363" i="3"/>
  <c r="AM421" i="3"/>
  <c r="AM362" i="3"/>
  <c r="AM420" i="3"/>
  <c r="AM329" i="3"/>
  <c r="AM419" i="3"/>
  <c r="AM360" i="3"/>
  <c r="AM418" i="3"/>
  <c r="AM388" i="3"/>
  <c r="AM417" i="3"/>
  <c r="AM387" i="3"/>
  <c r="AM326" i="3"/>
  <c r="AM416" i="3"/>
  <c r="AM325" i="3"/>
  <c r="AM415" i="3"/>
  <c r="AM385" i="3"/>
  <c r="AM356" i="3"/>
  <c r="AM324" i="3"/>
  <c r="AM414" i="3"/>
  <c r="AM355" i="3"/>
  <c r="AM413" i="3"/>
  <c r="AM322" i="3"/>
  <c r="AM412" i="3"/>
  <c r="AM382" i="3"/>
  <c r="AM353" i="3"/>
  <c r="AM381" i="3"/>
  <c r="AM410" i="3"/>
  <c r="AM351" i="3"/>
  <c r="AM320" i="3"/>
  <c r="AM350" i="3"/>
  <c r="AM318" i="3"/>
  <c r="AM407" i="3"/>
  <c r="AM348" i="3"/>
  <c r="AM257" i="3"/>
  <c r="AM267" i="3"/>
  <c r="AM285" i="3"/>
  <c r="AM286" i="3"/>
  <c r="AM279" i="3"/>
  <c r="AM206" i="3"/>
  <c r="AM241" i="3"/>
  <c r="AM287" i="3"/>
  <c r="AM283" i="3"/>
  <c r="AM282" i="3"/>
  <c r="AM269" i="3"/>
  <c r="AM288" i="3"/>
  <c r="AM259" i="3"/>
  <c r="AM270" i="3"/>
  <c r="AM258" i="3"/>
  <c r="AM293" i="3"/>
  <c r="AM268" i="3"/>
  <c r="AM273" i="3"/>
  <c r="AM265" i="3"/>
  <c r="AM255" i="3"/>
  <c r="AM256" i="3"/>
  <c r="AM262" i="3"/>
  <c r="AM274" i="3"/>
  <c r="AM272" i="3"/>
  <c r="AM246" i="3"/>
  <c r="AM291" i="3"/>
  <c r="AM253" i="3"/>
  <c r="AM239" i="3"/>
  <c r="AM277" i="3"/>
  <c r="AM276" i="3"/>
  <c r="AM261" i="3"/>
  <c r="AM240" i="3"/>
  <c r="AM271" i="3"/>
  <c r="AM264" i="3"/>
  <c r="AM275" i="3"/>
  <c r="AM248" i="3"/>
  <c r="AM237" i="3"/>
  <c r="AM220" i="3"/>
  <c r="AM219" i="3"/>
  <c r="AM235" i="3"/>
  <c r="AM218" i="3"/>
  <c r="AM217" i="3"/>
  <c r="AM233" i="3"/>
  <c r="AM216" i="3"/>
  <c r="AM215" i="3"/>
  <c r="AM214" i="3"/>
  <c r="AM250" i="3"/>
  <c r="AM249" i="3"/>
  <c r="AM242" i="3"/>
  <c r="AM243" i="3"/>
  <c r="AM229" i="3"/>
  <c r="AM225" i="3"/>
  <c r="AM224" i="3"/>
  <c r="AM222" i="3"/>
  <c r="AM209" i="3"/>
  <c r="AM208" i="3"/>
  <c r="AM223" i="3"/>
  <c r="AM254" i="3"/>
  <c r="AM213" i="3"/>
  <c r="AM212" i="3"/>
  <c r="AM211" i="3"/>
  <c r="AM252" i="3"/>
  <c r="AM210" i="3"/>
  <c r="AM228" i="3"/>
  <c r="AM245" i="3"/>
  <c r="AM251" i="3"/>
  <c r="AM207" i="3"/>
  <c r="AM227" i="3"/>
  <c r="AM244" i="3"/>
  <c r="AM221" i="3"/>
  <c r="AM247" i="3"/>
  <c r="AM238" i="3"/>
  <c r="AM236" i="3"/>
  <c r="AM234" i="3"/>
  <c r="AM162" i="3"/>
  <c r="AM232" i="3"/>
  <c r="AM231" i="3"/>
  <c r="AM230" i="3"/>
  <c r="AM226" i="3"/>
  <c r="AM164" i="3"/>
  <c r="AM132" i="3"/>
  <c r="AM163" i="3"/>
  <c r="AM191" i="3"/>
  <c r="AM124" i="3"/>
  <c r="AM91" i="3"/>
  <c r="AM183" i="3"/>
  <c r="AM188" i="3"/>
  <c r="AM88" i="3"/>
  <c r="AM157" i="3"/>
  <c r="AM156" i="3"/>
  <c r="AM186" i="3"/>
  <c r="AM154" i="3"/>
  <c r="AM184" i="3"/>
  <c r="AM158" i="3"/>
  <c r="AM187" i="3"/>
  <c r="AM185" i="3"/>
  <c r="AM155" i="3"/>
  <c r="AM153" i="3"/>
  <c r="AM152" i="3"/>
  <c r="AM194" i="3"/>
  <c r="AM167" i="3"/>
  <c r="AM135" i="3"/>
  <c r="AM193" i="3"/>
  <c r="AM166" i="3"/>
  <c r="AM134" i="3"/>
  <c r="AM192" i="3"/>
  <c r="AM165" i="3"/>
  <c r="AM133" i="3"/>
  <c r="AM13" i="3"/>
  <c r="AM12" i="3"/>
  <c r="AM205" i="3"/>
  <c r="AM178" i="3"/>
  <c r="AM146" i="3"/>
  <c r="AM9" i="3"/>
  <c r="AM182" i="3"/>
  <c r="AM151" i="3"/>
  <c r="AM87" i="3"/>
  <c r="AM181" i="3"/>
  <c r="AM150" i="3"/>
  <c r="AM86" i="3"/>
  <c r="AM180" i="3"/>
  <c r="AM149" i="3"/>
  <c r="AM148" i="3"/>
  <c r="AM179" i="3"/>
  <c r="AM147" i="3"/>
  <c r="AM97" i="3"/>
  <c r="AM204" i="3"/>
  <c r="AM177" i="3"/>
  <c r="AM145" i="3"/>
  <c r="AM203" i="3"/>
  <c r="AM176" i="3"/>
  <c r="AM144" i="3"/>
  <c r="AM95" i="3"/>
  <c r="AM202" i="3"/>
  <c r="AM175" i="3"/>
  <c r="AM143" i="3"/>
  <c r="AM94" i="3"/>
  <c r="AM201" i="3"/>
  <c r="AM174" i="3"/>
  <c r="AM142" i="3"/>
  <c r="AM200" i="3"/>
  <c r="AM173" i="3"/>
  <c r="AM141" i="3"/>
  <c r="AM199" i="3"/>
  <c r="AM172" i="3"/>
  <c r="AM140" i="3"/>
  <c r="AM198" i="3"/>
  <c r="AM171" i="3"/>
  <c r="AM139" i="3"/>
  <c r="AM197" i="3"/>
  <c r="AM170" i="3"/>
  <c r="AM138" i="3"/>
  <c r="AM196" i="3"/>
  <c r="AM169" i="3"/>
  <c r="AM137" i="3"/>
  <c r="AM98" i="3"/>
  <c r="AM195" i="3"/>
  <c r="AM168" i="3"/>
  <c r="AM136" i="3"/>
  <c r="AM20" i="3"/>
  <c r="AM160" i="3"/>
  <c r="AM100" i="3"/>
  <c r="AM113" i="3"/>
  <c r="AM112" i="3"/>
  <c r="AM161" i="3"/>
  <c r="AM111" i="3"/>
  <c r="AM101" i="3"/>
  <c r="AM190" i="3"/>
  <c r="AM159" i="3"/>
  <c r="AM189" i="3"/>
  <c r="AM81" i="3"/>
  <c r="AM80" i="3"/>
  <c r="AM79" i="3"/>
  <c r="AM21" i="3"/>
  <c r="AM110" i="3"/>
  <c r="AM78" i="3"/>
  <c r="AM109" i="3"/>
  <c r="AM77" i="3"/>
  <c r="AM108" i="3"/>
  <c r="AM76" i="3"/>
  <c r="AM107" i="3"/>
  <c r="AM27" i="3"/>
  <c r="AM106" i="3"/>
  <c r="AM26" i="3"/>
  <c r="AM105" i="3"/>
  <c r="AM25" i="3"/>
  <c r="AM104" i="3"/>
  <c r="AM24" i="3"/>
  <c r="AM103" i="3"/>
  <c r="AM23" i="3"/>
  <c r="AM102" i="3"/>
  <c r="AM22" i="3"/>
  <c r="AM126" i="3"/>
  <c r="AM14" i="3"/>
  <c r="AM90" i="3"/>
  <c r="AM119" i="3"/>
  <c r="AM117" i="3"/>
  <c r="AM85" i="3"/>
  <c r="AM5" i="3"/>
  <c r="AM116" i="3"/>
  <c r="AM84" i="3"/>
  <c r="AM4" i="3"/>
  <c r="AM115" i="3"/>
  <c r="AM83" i="3"/>
  <c r="AM3" i="3"/>
  <c r="AM131" i="3"/>
  <c r="AM99" i="3"/>
  <c r="AM19" i="3"/>
  <c r="AM130" i="3"/>
  <c r="AM18" i="3"/>
  <c r="AM129" i="3"/>
  <c r="AM17" i="3"/>
  <c r="AM128" i="3"/>
  <c r="AM96" i="3"/>
  <c r="AM16" i="3"/>
  <c r="AM127" i="3"/>
  <c r="AM15" i="3"/>
  <c r="AM125" i="3"/>
  <c r="AM93" i="3"/>
  <c r="AM92" i="3"/>
  <c r="AM123" i="3"/>
  <c r="AM11" i="3"/>
  <c r="AM122" i="3"/>
  <c r="AM10" i="3"/>
  <c r="AM121" i="3"/>
  <c r="AM89" i="3"/>
  <c r="AM120" i="3"/>
  <c r="AM8" i="3"/>
  <c r="AM7" i="3"/>
  <c r="AM118" i="3"/>
  <c r="AM6" i="3"/>
  <c r="AM114" i="3"/>
  <c r="AM82" i="3"/>
  <c r="AM2" i="3"/>
  <c r="AD118" i="3"/>
  <c r="AI1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 Ighalo</author>
  </authors>
  <commentList>
    <comment ref="J18" authorId="0" shapeId="0" xr:uid="{B4B68C3A-6F5B-4722-9456-C773F3357301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S1+S2 A+B</t>
        </r>
      </text>
    </comment>
    <comment ref="E84" authorId="0" shapeId="0" xr:uid="{41602FF4-8EBD-4A6B-9C68-C84F58CADE86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count from End of acclimation period</t>
        </r>
      </text>
    </comment>
    <comment ref="E370" authorId="0" shapeId="0" xr:uid="{5AE6112D-A32C-4C22-A687-08DE4E0E6679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clocks fell back
9:50 fly time, 8:50 real time</t>
        </r>
      </text>
    </comment>
    <comment ref="A401" authorId="0" shapeId="0" xr:uid="{4309995B-3CAD-4A94-BC0E-92228921EB6E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mold in many male vials, males were fine</t>
        </r>
      </text>
    </comment>
    <comment ref="H427" authorId="0" shapeId="0" xr:uid="{4A1FA7B7-CFBF-46AF-A2C8-1456E55A925D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switched A and C lids, no difference really so they are back to normal on day 2 gen 24</t>
        </r>
      </text>
    </comment>
  </commentList>
</comments>
</file>

<file path=xl/sharedStrings.xml><?xml version="1.0" encoding="utf-8"?>
<sst xmlns="http://schemas.openxmlformats.org/spreadsheetml/2006/main" count="3394" uniqueCount="185">
  <si>
    <t>F</t>
  </si>
  <si>
    <t>D</t>
  </si>
  <si>
    <t>C</t>
  </si>
  <si>
    <t>M</t>
  </si>
  <si>
    <t>B</t>
  </si>
  <si>
    <t>A</t>
  </si>
  <si>
    <t>S</t>
  </si>
  <si>
    <t>Totals</t>
  </si>
  <si>
    <t>Light Score</t>
  </si>
  <si>
    <t>Sex</t>
  </si>
  <si>
    <t>Maze</t>
  </si>
  <si>
    <t>Lineage</t>
  </si>
  <si>
    <t>Treatment</t>
  </si>
  <si>
    <t>Date</t>
  </si>
  <si>
    <t>Generation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</si>
  <si>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</si>
  <si>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</si>
  <si>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</si>
  <si>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</si>
  <si>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</si>
  <si>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</si>
  <si>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</si>
  <si>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</si>
  <si>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</si>
  <si>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</si>
  <si>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</si>
  <si>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</si>
  <si>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</si>
  <si>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</si>
  <si>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</si>
  <si>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</si>
  <si>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maze D</t>
  </si>
  <si>
    <t>maze C</t>
  </si>
  <si>
    <t>maze B</t>
  </si>
  <si>
    <t>maze A</t>
  </si>
  <si>
    <t>day 5 session 2</t>
  </si>
  <si>
    <t>day 5 session 1</t>
  </si>
  <si>
    <t>day 4 session 2</t>
  </si>
  <si>
    <t>day 4 session 1</t>
  </si>
  <si>
    <t>Term Vials</t>
  </si>
  <si>
    <t>Gen 16</t>
  </si>
  <si>
    <t>Gen 15</t>
  </si>
  <si>
    <t>Gen 14</t>
  </si>
  <si>
    <t>Gen 13</t>
  </si>
  <si>
    <t>Gen 12</t>
  </si>
  <si>
    <t>Gen 11</t>
  </si>
  <si>
    <t>C1</t>
  </si>
  <si>
    <t>C2</t>
  </si>
  <si>
    <t>day 5 session 4</t>
  </si>
  <si>
    <t>C3</t>
  </si>
  <si>
    <t>C4</t>
  </si>
  <si>
    <t>day 5 session 3</t>
  </si>
  <si>
    <t>Gen 10</t>
  </si>
  <si>
    <t>Gen 9</t>
  </si>
  <si>
    <t>Gen 8</t>
  </si>
  <si>
    <t>Gen 7</t>
  </si>
  <si>
    <t>Gen 6</t>
  </si>
  <si>
    <t>S3</t>
  </si>
  <si>
    <t>S4</t>
  </si>
  <si>
    <t>S1</t>
  </si>
  <si>
    <t>S2</t>
  </si>
  <si>
    <t>Gen 5</t>
  </si>
  <si>
    <t>12:50pm</t>
  </si>
  <si>
    <t>9:57am</t>
  </si>
  <si>
    <t>2:15pm</t>
  </si>
  <si>
    <t>10:40am</t>
  </si>
  <si>
    <t>Gen 4</t>
  </si>
  <si>
    <t>12:33pm</t>
  </si>
  <si>
    <t>9am</t>
  </si>
  <si>
    <t>11:40am</t>
  </si>
  <si>
    <t>9:05am</t>
  </si>
  <si>
    <t>Gen 3</t>
  </si>
  <si>
    <t>1:04pm</t>
  </si>
  <si>
    <t>10:20am</t>
  </si>
  <si>
    <t xml:space="preserve"> </t>
  </si>
  <si>
    <t>11:07am</t>
  </si>
  <si>
    <t>Gen 2</t>
  </si>
  <si>
    <t>flies collected for C4</t>
  </si>
  <si>
    <t>4:18pm-7pm</t>
  </si>
  <si>
    <t>day 6 session 4</t>
  </si>
  <si>
    <t>flies collected for C3</t>
  </si>
  <si>
    <t>2:04pm-4pm</t>
  </si>
  <si>
    <t>day 6 session 3</t>
  </si>
  <si>
    <t>flies collected for C2</t>
  </si>
  <si>
    <t>11:42am-1:40pm</t>
  </si>
  <si>
    <t>day 6 session 2</t>
  </si>
  <si>
    <t>flies collected for C1</t>
  </si>
  <si>
    <t>10am-11:17am</t>
  </si>
  <si>
    <t>day 6 session 1</t>
  </si>
  <si>
    <t>flies collected for S2</t>
  </si>
  <si>
    <t>flies collected for S1</t>
  </si>
  <si>
    <t>6:42pm-9pm</t>
  </si>
  <si>
    <t>flies collected for S4</t>
  </si>
  <si>
    <t>maze B2</t>
  </si>
  <si>
    <t>3:50pm-6:15pm</t>
  </si>
  <si>
    <t>maze A2</t>
  </si>
  <si>
    <t>1:36pm-3:25pm</t>
  </si>
  <si>
    <t>flies collected for S3</t>
  </si>
  <si>
    <t>11:15am-12:45pm</t>
  </si>
  <si>
    <t>9:11am - 10:30am</t>
  </si>
  <si>
    <t>End: 6:18</t>
  </si>
  <si>
    <t>after 2.5hrs many flies are still at start</t>
  </si>
  <si>
    <t>Start: 3:25pm</t>
  </si>
  <si>
    <t>End: 12:30pm</t>
  </si>
  <si>
    <t>Start: 10:11am</t>
  </si>
  <si>
    <t>Term Vials (1: avoid)</t>
  </si>
  <si>
    <t>Gen 1</t>
  </si>
  <si>
    <t>24-01-2025</t>
  </si>
  <si>
    <t>25-01-2025</t>
  </si>
  <si>
    <t>25-02-2025</t>
  </si>
  <si>
    <t>26-01-2025</t>
  </si>
  <si>
    <t>05-02-2025</t>
  </si>
  <si>
    <t>06-02-2025</t>
  </si>
  <si>
    <t>24-02-2025</t>
  </si>
  <si>
    <t>10-03-2025</t>
  </si>
  <si>
    <t>11-03-2025</t>
  </si>
  <si>
    <t>24-03-2025</t>
  </si>
  <si>
    <t>25-03-2025</t>
  </si>
  <si>
    <t>Lightscore</t>
  </si>
  <si>
    <t>Time_Elapsed</t>
  </si>
  <si>
    <t>07-04-2025</t>
  </si>
  <si>
    <t>07-05-2025</t>
  </si>
  <si>
    <t>21-04-2025</t>
  </si>
  <si>
    <t>22-04-2025</t>
  </si>
  <si>
    <t>06-05-2025</t>
  </si>
  <si>
    <t>05-05-2025</t>
  </si>
  <si>
    <t>start_time</t>
  </si>
  <si>
    <t>end_time</t>
  </si>
  <si>
    <t>start_time_num</t>
  </si>
  <si>
    <t>end_time_num</t>
  </si>
  <si>
    <t>time_elapsed_num</t>
  </si>
  <si>
    <t>day</t>
  </si>
  <si>
    <t>total_Flies</t>
  </si>
  <si>
    <t>19-05-2025</t>
  </si>
  <si>
    <t>20-05-2025</t>
  </si>
  <si>
    <t>02-06-2025</t>
  </si>
  <si>
    <t>ABCD</t>
  </si>
  <si>
    <t>03-06-2025</t>
  </si>
  <si>
    <t>DBCA</t>
  </si>
  <si>
    <t>Vials_Larvae_UsedInMaze</t>
  </si>
  <si>
    <t>Vials_Total_UsedInMaze</t>
  </si>
  <si>
    <t>04-06-2026</t>
  </si>
  <si>
    <t>CDAB</t>
  </si>
  <si>
    <t>Flies_per_Vial</t>
  </si>
  <si>
    <t>16-06-2025</t>
  </si>
  <si>
    <t>17-06-2025</t>
  </si>
  <si>
    <t>blind</t>
  </si>
  <si>
    <t>yes</t>
  </si>
  <si>
    <t>no</t>
  </si>
  <si>
    <t>30-06-2025</t>
  </si>
  <si>
    <t>01-07-2025</t>
  </si>
  <si>
    <t>17-07-2025</t>
  </si>
  <si>
    <t>18-07-2025</t>
  </si>
  <si>
    <t>04-08-2025</t>
  </si>
  <si>
    <t>morn</t>
  </si>
  <si>
    <t>aft</t>
  </si>
  <si>
    <t>Maze_Order</t>
  </si>
  <si>
    <t>time_of_day</t>
  </si>
  <si>
    <t>18-08-2025</t>
  </si>
  <si>
    <t>19-08-2025</t>
  </si>
  <si>
    <t>20-08-2025</t>
  </si>
  <si>
    <t>21-08-2025</t>
  </si>
  <si>
    <t>01-09-2025</t>
  </si>
  <si>
    <t>02-09-2025</t>
  </si>
  <si>
    <t>flies_in</t>
  </si>
  <si>
    <t>prop_out</t>
  </si>
  <si>
    <t>18-09-2025</t>
  </si>
  <si>
    <t>19-09-2025</t>
  </si>
  <si>
    <t>vials uneclosed by sexing day</t>
  </si>
  <si>
    <t>02-10-2025</t>
  </si>
  <si>
    <t>03-10-2025</t>
  </si>
  <si>
    <t>16-10-2025</t>
  </si>
  <si>
    <t>17-10-2025</t>
  </si>
  <si>
    <t>30-10-2025</t>
  </si>
  <si>
    <t>31-10-2025</t>
  </si>
  <si>
    <t>1-11-2025</t>
  </si>
  <si>
    <t>2-11-2025</t>
  </si>
  <si>
    <t>13-11-2025</t>
  </si>
  <si>
    <t>14-11-2025</t>
  </si>
  <si>
    <t>27-11-2025</t>
  </si>
  <si>
    <t>28-11-2025</t>
  </si>
  <si>
    <t>11-12-2025</t>
  </si>
  <si>
    <t>12-12-2025</t>
  </si>
  <si>
    <t>08-01-2026</t>
  </si>
  <si>
    <t>09-01-2026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</si>
</sst>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20" fontId="0" fillId="0" borderId="0" xfId="0" applyNumberFormat="1"/>
    <xf numFmtId="0" fontId="0" fillId="0" borderId="2" xfId="0" applyBorder="1"/>
    <xf numFmtId="0" fontId="0" fillId="2" borderId="0" xfId="0" applyFill="1"/>
    <xf numFmtId="20" fontId="0" fillId="2" borderId="0" xfId="0" applyNumberFormat="1" applyFill="1"/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0" fontId="0" fillId="0" borderId="1" xfId="0" applyBorder="1"/>
    <xf numFmtId="16" fontId="0" fillId="0" borderId="0" xfId="0" applyNumberFormat="1"/>
    <xf numFmtId="0" fontId="1" fillId="0" borderId="5" xfId="0" applyFont="1" applyBorder="1"/>
    <xf numFmtId="20" fontId="0" fillId="2" borderId="4" xfId="0" applyNumberFormat="1" applyFill="1" applyBorder="1"/>
    <xf numFmtId="20" fontId="0" fillId="0" borderId="4" xfId="0" applyNumberFormat="1" applyBorder="1"/>
    <xf numFmtId="0" fontId="0" fillId="0" borderId="4" xfId="0" applyBorder="1"/>
    <xf numFmtId="0" fontId="0" fillId="2" borderId="4" xfId="0" applyFill="1" applyBorder="1"/>
    <xf numFmtId="0" fontId="1" fillId="0" borderId="7" xfId="0" applyFont="1" applyBorder="1"/>
    <xf numFmtId="0" fontId="0" fillId="2" borderId="6" xfId="0" applyFill="1" applyBorder="1"/>
    <xf numFmtId="0" fontId="0" fillId="0" borderId="6" xfId="0" applyBorder="1"/>
    <xf numFmtId="0" fontId="0" fillId="3" borderId="0" xfId="0" applyFill="1"/>
    <xf numFmtId="20" fontId="0" fillId="3" borderId="0" xfId="0" applyNumberFormat="1" applyFill="1"/>
    <xf numFmtId="20" fontId="0" fillId="3" borderId="4" xfId="0" applyNumberFormat="1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0" xfId="0" applyFill="1"/>
    <xf numFmtId="20" fontId="0" fillId="4" borderId="4" xfId="0" applyNumberFormat="1" applyFill="1" applyBorder="1"/>
    <xf numFmtId="0" fontId="0" fillId="4" borderId="4" xfId="0" applyFill="1" applyBorder="1"/>
    <xf numFmtId="0" fontId="0" fillId="4" borderId="6" xfId="0" applyFill="1" applyBorder="1"/>
    <xf numFmtId="20" fontId="0" fillId="4" borderId="0" xfId="0" applyNumberFormat="1" applyFill="1"/>
    <xf numFmtId="2" fontId="0" fillId="2" borderId="0" xfId="0" applyNumberFormat="1" applyFill="1"/>
    <xf numFmtId="2" fontId="1" fillId="0" borderId="1" xfId="0" applyNumberFormat="1" applyFont="1" applyBorder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36"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vertical/>
      </border>
    </dxf>
    <dxf>
      <border diagonalUp="0" diagonalDown="0">
        <left/>
        <right style="thin">
          <color indexed="64"/>
        </right>
        <vertical/>
      </border>
    </dxf>
    <dxf>
      <numFmt numFmtId="25" formatCode="h:mm"/>
    </dxf>
    <dxf>
      <numFmt numFmtId="25" formatCode="h:mm"/>
      <border diagonalUp="0" diagonalDown="0">
        <left/>
        <right style="thin">
          <color indexed="64"/>
        </right>
        <vertical/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3BF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B2527-CD28-474B-AA9C-0FC4E6A72110}" name="Table3" displayName="Table3" ref="A1:AN502" totalsRowShown="0" headerRowDxfId="35" headerRowBorderDxfId="34">
  <autoFilter ref="A1:AN502" xr:uid="{0DBB2527-CD28-474B-AA9C-0FC4E6A72110}"/>
  <tableColumns count="40">
    <tableColumn id="1" xr3:uid="{099FC34C-5CC9-4331-9A69-6E1C63D2971A}" name="Generation"/>
    <tableColumn id="33" xr3:uid="{A366BCBA-CF60-426F-9635-050B5A4C361A}" name="day"/>
    <tableColumn id="36" xr3:uid="{A2BE3772-F2AA-411D-994B-BAD5D84C54A5}" name="time_of_day"/>
    <tableColumn id="2" xr3:uid="{9DBCB383-ED85-477B-9DA3-058B93E9C83A}" name="Date"/>
    <tableColumn id="3" xr3:uid="{20EDD9B4-9B60-4D1E-818E-9AB7FABBA8E9}" name="start_time"/>
    <tableColumn id="4" xr3:uid="{943E7793-0458-4C9E-97E9-D37FDD4CBBEB}" name="end_time"/>
    <tableColumn id="5" xr3:uid="{187259E3-5E22-4351-9281-8431F44469E1}" name="Time_Elapsed" dataDxfId="33">
      <calculatedColumnFormula>F2-E2</calculatedColumnFormula>
    </tableColumn>
    <tableColumn id="35" xr3:uid="{97FA77EF-6E6D-47C4-8E07-593C5E9AFE07}" name="Maze_Order" dataDxfId="32"/>
    <tableColumn id="6" xr3:uid="{E5D29F4F-086B-45E1-B08D-1815517F95A1}" name="Treatment"/>
    <tableColumn id="7" xr3:uid="{AEE433C2-C43F-4525-876A-B8B96E843E9F}" name="Lineage"/>
    <tableColumn id="8" xr3:uid="{DA3B5D58-85E8-4E64-8459-BF325ACA203F}" name="Maze"/>
    <tableColumn id="9" xr3:uid="{0904D92B-4D14-4E62-A875-768DD46BD582}" name="Sex" dataDxfId="31"/>
    <tableColumn id="10" xr3:uid="{BD92F2E4-E13B-4510-B731-B6FD1FDC7A5F}" name="1"/>
    <tableColumn id="11" xr3:uid="{DB9A5C6E-0E1E-4F65-951A-AA7D208A8DD3}" name="2"/>
    <tableColumn id="12" xr3:uid="{D9419372-23FD-40D0-A38C-133A3FADEE6E}" name="3"/>
    <tableColumn id="13" xr3:uid="{A24E2361-FC05-4655-B8D6-C1569F95474D}" name="4"/>
    <tableColumn id="14" xr3:uid="{B033F37A-2CF2-447C-A49F-CF9473FD28AC}" name="5"/>
    <tableColumn id="15" xr3:uid="{3767B5EE-ABF1-4918-9C5D-A7A0F9ED873B}" name="6"/>
    <tableColumn id="16" xr3:uid="{D969AA94-9E08-46AA-8712-090329EE58B4}" name="7"/>
    <tableColumn id="17" xr3:uid="{05317AD3-1B09-482A-9EEA-6F07BB535A8C}" name="8"/>
    <tableColumn id="18" xr3:uid="{B4313286-6F67-4BBC-AAD2-7A5783AAA809}" name="9"/>
    <tableColumn id="19" xr3:uid="{16AB2B5B-9AB9-456B-A4B7-552DF25A5FC7}" name="10"/>
    <tableColumn id="20" xr3:uid="{B3DA80B6-DB90-4B7C-A5C0-DC7B495C91A5}" name="11"/>
    <tableColumn id="21" xr3:uid="{263A20E3-3B80-4DAA-99E4-B24E6A4E91FA}" name="12"/>
    <tableColumn id="22" xr3:uid="{447FC2BD-B163-4168-BACC-B7B115724D0E}" name="13"/>
    <tableColumn id="23" xr3:uid="{97D27DC9-7AB5-4B6D-8558-FC3BFBBB8231}" name="14"/>
    <tableColumn id="24" xr3:uid="{6616F527-3F5C-40CF-8923-2219E382584C}" name="15"/>
    <tableColumn id="25" xr3:uid="{2BC80148-3572-4A4C-AC52-135DB0F7394D}" name="16"/>
    <tableColumn id="27" xr3:uid="{442F6012-0D86-4FC4-9A1E-49DE98FEF443}" name="Lightscore" dataDxfId="30">
      <calculatedColumnFormula>SUMPRODUCT(OG_Data!D$1:S$1, M2:AB2) /SUM(M2:AB2)</calculatedColumnFormula>
    </tableColumn>
    <tableColumn id="28" xr3:uid="{303AE2FC-23EF-4370-A31C-27CECA45BD1A}" name="total_Flies">
      <calculatedColumnFormula>SUM(M2:AB2)</calculatedColumnFormula>
    </tableColumn>
    <tableColumn id="26" xr3:uid="{C1F8EDFC-9265-4E5B-85E8-ECFA7D24D7A4}" name="Vials_Larvae_UsedInMaze"/>
    <tableColumn id="29" xr3:uid="{A7423249-4497-4CCB-8F45-2B264A5617C6}" name="Vials_Total_UsedInMaze"/>
    <tableColumn id="37" xr3:uid="{42D1AC25-8A67-4374-B88F-8B28F57E8695}" name="Flies_per_Vial"/>
    <tableColumn id="38" xr3:uid="{58DE9404-E417-4734-8228-B9C035562154}" name="flies_in" dataDxfId="29">
      <calculatedColumnFormula>Table3[[#This Row],[Flies_per_Vial]]*Table3[[#This Row],[Vials_Total_UsedInMaze]]</calculatedColumnFormula>
    </tableColumn>
    <tableColumn id="39" xr3:uid="{58438318-E42B-49B8-A5F3-3D186EC9A3F8}" name="prop_out" dataDxfId="28">
      <calculatedColumnFormula>Table3[[#This Row],[total_Flies]]/Table3[[#This Row],[flies_in]]</calculatedColumnFormula>
    </tableColumn>
    <tableColumn id="41" xr3:uid="{5CBB5A5E-C5D2-485B-AE55-129096881347}" name="vials uneclosed by sexing day"/>
    <tableColumn id="30" xr3:uid="{77F37841-5FD9-473C-B0A1-0A01EF1E5B07}" name="start_time_num" dataDxfId="27">
      <calculatedColumnFormula>24*E2</calculatedColumnFormula>
    </tableColumn>
    <tableColumn id="31" xr3:uid="{A64FEC53-FA95-4903-9AD0-9DFEA665449E}" name="end_time_num" dataDxfId="26">
      <calculatedColumnFormula>24*F2</calculatedColumnFormula>
    </tableColumn>
    <tableColumn id="32" xr3:uid="{419C443C-CC5B-49D8-B538-F9761D471C0D}" name="time_elapsed_num" dataDxfId="25">
      <calculatedColumnFormula>Table3[[#This Row],[end_time_num]]-Table3[[#This Row],[start_time_num]]</calculatedColumnFormula>
    </tableColumn>
    <tableColumn id="34" xr3:uid="{D61197B4-BCEF-4B40-9757-B3BA271F4997}" name="blin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EA7A-0497-4809-827E-DA41A4F3D0D5}">
  <dimension ref="A1:AN502"/>
  <sheetViews>
    <sheetView tabSelected="1" zoomScale="76" workbookViewId="0">
      <pane ySplit="1" topLeftCell="A2" activePane="bottomLeft" state="frozen"/>
      <selection pane="bottomLeft" activeCell="Q13" sqref="Q13"/>
    </sheetView>
  </sheetViews>
  <sheetFormatPr defaultRowHeight="14.5" x14ac:dyDescent="0.35"/>
  <cols>
    <col min="1" max="1" width="12.1796875" customWidth="1"/>
    <col min="2" max="2" width="6.1796875" bestFit="1" customWidth="1"/>
    <col min="3" max="3" width="6.1796875" customWidth="1"/>
    <col min="4" max="4" width="11.1796875" customWidth="1"/>
    <col min="5" max="5" width="7.1796875" bestFit="1" customWidth="1"/>
    <col min="6" max="6" width="8.81640625" bestFit="1" customWidth="1"/>
    <col min="7" max="7" width="6.54296875" style="14" customWidth="1"/>
    <col min="8" max="8" width="6.54296875" customWidth="1"/>
    <col min="9" max="9" width="3.54296875" customWidth="1"/>
    <col min="10" max="10" width="4" customWidth="1"/>
    <col min="11" max="11" width="7.54296875" customWidth="1"/>
    <col min="12" max="12" width="5.81640625" style="14" customWidth="1"/>
    <col min="29" max="29" width="19.54296875" style="18" customWidth="1"/>
    <col min="30" max="30" width="12.7265625" bestFit="1" customWidth="1"/>
    <col min="31" max="31" width="26.1796875" bestFit="1" customWidth="1"/>
    <col min="32" max="32" width="24.6328125" bestFit="1" customWidth="1"/>
    <col min="33" max="33" width="15.7265625" bestFit="1" customWidth="1"/>
    <col min="34" max="34" width="10.1796875" bestFit="1" customWidth="1"/>
    <col min="35" max="35" width="12.90625" style="31" bestFit="1" customWidth="1"/>
    <col min="36" max="36" width="29.26953125" style="31" bestFit="1" customWidth="1"/>
    <col min="37" max="37" width="8.7265625" style="31"/>
  </cols>
  <sheetData>
    <row r="1" spans="1:40" s="1" customFormat="1" ht="15" thickBot="1" x14ac:dyDescent="0.4">
      <c r="A1" s="1" t="s">
        <v>14</v>
      </c>
      <c r="B1" s="1" t="s">
        <v>131</v>
      </c>
      <c r="C1" s="1" t="s">
        <v>157</v>
      </c>
      <c r="D1" s="1" t="s">
        <v>13</v>
      </c>
      <c r="E1" s="1" t="s">
        <v>126</v>
      </c>
      <c r="F1" s="1" t="s">
        <v>127</v>
      </c>
      <c r="G1" s="11" t="s">
        <v>119</v>
      </c>
      <c r="H1" s="1" t="s">
        <v>156</v>
      </c>
      <c r="I1" s="1" t="s">
        <v>12</v>
      </c>
      <c r="J1" s="1" t="s">
        <v>11</v>
      </c>
      <c r="K1" s="1" t="s">
        <v>10</v>
      </c>
      <c r="L1" s="11" t="s">
        <v>9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6" t="s">
        <v>118</v>
      </c>
      <c r="AD1" s="1" t="s">
        <v>132</v>
      </c>
      <c r="AE1" s="1" t="s">
        <v>139</v>
      </c>
      <c r="AF1" s="1" t="s">
        <v>140</v>
      </c>
      <c r="AG1" s="1" t="s">
        <v>143</v>
      </c>
      <c r="AH1" s="1" t="s">
        <v>164</v>
      </c>
      <c r="AI1" s="1" t="s">
        <v>165</v>
      </c>
      <c r="AJ1" s="1" t="s">
        <v>168</v>
      </c>
      <c r="AK1" s="30" t="s">
        <v>128</v>
      </c>
      <c r="AL1" s="30" t="s">
        <v>129</v>
      </c>
      <c r="AM1" s="1" t="s">
        <v>130</v>
      </c>
      <c r="AN1" s="1" t="s">
        <v>146</v>
      </c>
    </row>
    <row r="2" spans="1:40" s="4" customFormat="1" ht="15" thickTop="1" x14ac:dyDescent="0.35">
      <c r="A2" s="4">
        <v>1</v>
      </c>
      <c r="B2" s="4">
        <v>1</v>
      </c>
      <c r="C2" s="4" t="s">
        <v>154</v>
      </c>
      <c r="D2" s="4" t="s">
        <v>107</v>
      </c>
      <c r="E2" s="5">
        <v>0.42430555555555555</v>
      </c>
      <c r="F2" s="5">
        <v>0.52083333333333337</v>
      </c>
      <c r="G2" s="12">
        <v>9.6527777777777823E-2</v>
      </c>
      <c r="H2" s="5" t="s">
        <v>136</v>
      </c>
      <c r="I2" s="4" t="s">
        <v>6</v>
      </c>
      <c r="J2" s="4">
        <v>1</v>
      </c>
      <c r="K2" s="4" t="s">
        <v>5</v>
      </c>
      <c r="L2" s="15" t="s">
        <v>0</v>
      </c>
      <c r="M2" s="4">
        <v>1</v>
      </c>
      <c r="N2" s="4">
        <v>0</v>
      </c>
      <c r="O2" s="4">
        <v>0</v>
      </c>
      <c r="P2" s="4">
        <v>0</v>
      </c>
      <c r="Q2" s="4">
        <v>2</v>
      </c>
      <c r="R2" s="4">
        <v>2</v>
      </c>
      <c r="S2" s="4">
        <v>2</v>
      </c>
      <c r="T2" s="4">
        <v>10</v>
      </c>
      <c r="U2" s="4">
        <v>4</v>
      </c>
      <c r="V2" s="4">
        <v>6</v>
      </c>
      <c r="W2" s="4">
        <v>5</v>
      </c>
      <c r="X2" s="4">
        <v>2</v>
      </c>
      <c r="Y2" s="4">
        <v>6</v>
      </c>
      <c r="Z2" s="4">
        <v>3</v>
      </c>
      <c r="AA2" s="4">
        <v>7</v>
      </c>
      <c r="AB2" s="4">
        <v>4</v>
      </c>
      <c r="AC2" s="17">
        <f>SUMPRODUCT(OG_Data!D$1:S$1, M2:AB2) /SUM(M2:AB2)</f>
        <v>10.75925925925926</v>
      </c>
      <c r="AD2" s="4">
        <f t="shared" ref="AD2:AD65" si="0">SUM(M2:AB2)</f>
        <v>54</v>
      </c>
      <c r="AH2" s="4">
        <f>Table3[[#This Row],[Flies_per_Vial]]*Table3[[#This Row],[Vials_Total_UsedInMaze]]</f>
        <v>0</v>
      </c>
      <c r="AK2" s="29">
        <f t="shared" ref="AK2:AK27" si="1">24*E2</f>
        <v>10.183333333333334</v>
      </c>
      <c r="AL2" s="29">
        <f t="shared" ref="AL2:AL27" si="2">24*F2</f>
        <v>12.5</v>
      </c>
      <c r="AM2" s="29">
        <f>Table3[[#This Row],[end_time_num]]-Table3[[#This Row],[start_time_num]]</f>
        <v>2.3166666666666664</v>
      </c>
    </row>
    <row r="3" spans="1:40" s="4" customFormat="1" x14ac:dyDescent="0.35">
      <c r="A3" s="4">
        <v>1</v>
      </c>
      <c r="B3" s="4">
        <v>1</v>
      </c>
      <c r="C3" s="4" t="s">
        <v>154</v>
      </c>
      <c r="D3" s="4" t="s">
        <v>107</v>
      </c>
      <c r="E3" s="5">
        <v>0.42430555555555555</v>
      </c>
      <c r="F3" s="5">
        <v>0.52083333333333337</v>
      </c>
      <c r="G3" s="12">
        <v>9.6527777777777823E-2</v>
      </c>
      <c r="H3" s="5" t="s">
        <v>136</v>
      </c>
      <c r="I3" s="4" t="s">
        <v>6</v>
      </c>
      <c r="J3" s="4">
        <v>1</v>
      </c>
      <c r="K3" s="4" t="s">
        <v>4</v>
      </c>
      <c r="L3" s="15" t="s">
        <v>3</v>
      </c>
      <c r="M3" s="4">
        <v>1</v>
      </c>
      <c r="N3" s="4">
        <v>2</v>
      </c>
      <c r="O3" s="4">
        <v>1</v>
      </c>
      <c r="P3" s="4">
        <v>1</v>
      </c>
      <c r="Q3" s="4">
        <v>2</v>
      </c>
      <c r="R3" s="4">
        <v>1</v>
      </c>
      <c r="S3" s="4">
        <v>6</v>
      </c>
      <c r="T3" s="4">
        <v>12</v>
      </c>
      <c r="U3" s="4">
        <v>10</v>
      </c>
      <c r="V3" s="4">
        <v>5</v>
      </c>
      <c r="W3" s="4">
        <v>7</v>
      </c>
      <c r="X3" s="4">
        <v>8</v>
      </c>
      <c r="Y3" s="4">
        <v>3</v>
      </c>
      <c r="Z3" s="4">
        <v>1</v>
      </c>
      <c r="AA3" s="4">
        <v>2</v>
      </c>
      <c r="AB3" s="4">
        <v>1</v>
      </c>
      <c r="AC3" s="17">
        <f>SUMPRODUCT(OG_Data!D$1:S$1, M3:AB3) /SUM(M3:AB3)</f>
        <v>9.174603174603174</v>
      </c>
      <c r="AD3" s="4">
        <f t="shared" si="0"/>
        <v>63</v>
      </c>
      <c r="AH3" s="4">
        <f>Table3[[#This Row],[Flies_per_Vial]]*Table3[[#This Row],[Vials_Total_UsedInMaze]]</f>
        <v>0</v>
      </c>
      <c r="AK3" s="29">
        <f t="shared" si="1"/>
        <v>10.183333333333334</v>
      </c>
      <c r="AL3" s="29">
        <f t="shared" si="2"/>
        <v>12.5</v>
      </c>
      <c r="AM3" s="29">
        <f>Table3[[#This Row],[end_time_num]]-Table3[[#This Row],[start_time_num]]</f>
        <v>2.3166666666666664</v>
      </c>
    </row>
    <row r="4" spans="1:40" s="4" customFormat="1" x14ac:dyDescent="0.35">
      <c r="A4" s="4">
        <v>1</v>
      </c>
      <c r="B4" s="4">
        <v>1</v>
      </c>
      <c r="C4" s="4" t="s">
        <v>154</v>
      </c>
      <c r="D4" s="4" t="s">
        <v>107</v>
      </c>
      <c r="E4" s="5">
        <v>0.42430555555555555</v>
      </c>
      <c r="F4" s="5">
        <v>0.52083333333333337</v>
      </c>
      <c r="G4" s="12">
        <v>9.6527777777777823E-2</v>
      </c>
      <c r="H4" s="5" t="s">
        <v>136</v>
      </c>
      <c r="I4" s="4" t="s">
        <v>6</v>
      </c>
      <c r="J4" s="4">
        <v>1</v>
      </c>
      <c r="K4" s="4" t="s">
        <v>2</v>
      </c>
      <c r="L4" s="15" t="s">
        <v>3</v>
      </c>
      <c r="M4" s="4">
        <v>0</v>
      </c>
      <c r="N4" s="4">
        <v>2</v>
      </c>
      <c r="O4" s="4">
        <v>0</v>
      </c>
      <c r="P4" s="4">
        <v>1</v>
      </c>
      <c r="Q4" s="4">
        <v>1</v>
      </c>
      <c r="R4" s="4">
        <v>0</v>
      </c>
      <c r="S4" s="4">
        <v>1</v>
      </c>
      <c r="T4" s="4">
        <v>4</v>
      </c>
      <c r="U4" s="4">
        <v>0</v>
      </c>
      <c r="V4" s="4">
        <v>0</v>
      </c>
      <c r="W4" s="4">
        <v>2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7">
        <f>SUMPRODUCT(OG_Data!D$1:S$1, M4:AB4) /SUM(M4:AB4)</f>
        <v>6.7272727272727275</v>
      </c>
      <c r="AD4" s="4">
        <f t="shared" si="0"/>
        <v>11</v>
      </c>
      <c r="AH4" s="4">
        <f>Table3[[#This Row],[Flies_per_Vial]]*Table3[[#This Row],[Vials_Total_UsedInMaze]]</f>
        <v>0</v>
      </c>
      <c r="AK4" s="29">
        <f t="shared" si="1"/>
        <v>10.183333333333334</v>
      </c>
      <c r="AL4" s="29">
        <f t="shared" si="2"/>
        <v>12.5</v>
      </c>
      <c r="AM4" s="29">
        <f>Table3[[#This Row],[end_time_num]]-Table3[[#This Row],[start_time_num]]</f>
        <v>2.3166666666666664</v>
      </c>
    </row>
    <row r="5" spans="1:40" s="4" customFormat="1" x14ac:dyDescent="0.35">
      <c r="A5" s="4">
        <v>1</v>
      </c>
      <c r="B5" s="4">
        <v>1</v>
      </c>
      <c r="C5" s="4" t="s">
        <v>154</v>
      </c>
      <c r="D5" s="4" t="s">
        <v>107</v>
      </c>
      <c r="E5" s="5">
        <v>0.42430555555555555</v>
      </c>
      <c r="F5" s="5">
        <v>0.52083333333333337</v>
      </c>
      <c r="G5" s="12">
        <v>9.6527777777777823E-2</v>
      </c>
      <c r="H5" s="5" t="s">
        <v>136</v>
      </c>
      <c r="I5" s="4" t="s">
        <v>6</v>
      </c>
      <c r="J5" s="4">
        <v>1</v>
      </c>
      <c r="K5" s="4" t="s">
        <v>1</v>
      </c>
      <c r="L5" s="15" t="s">
        <v>0</v>
      </c>
      <c r="M5" s="4">
        <v>2</v>
      </c>
      <c r="N5" s="4">
        <v>1</v>
      </c>
      <c r="O5" s="4">
        <v>2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2</v>
      </c>
      <c r="V5" s="4">
        <v>1</v>
      </c>
      <c r="W5" s="4">
        <v>0</v>
      </c>
      <c r="X5" s="4">
        <v>2</v>
      </c>
      <c r="Y5" s="4">
        <v>1</v>
      </c>
      <c r="Z5" s="4">
        <v>1</v>
      </c>
      <c r="AA5" s="4">
        <v>1</v>
      </c>
      <c r="AB5" s="4">
        <v>0</v>
      </c>
      <c r="AC5" s="17">
        <f>SUMPRODUCT(OG_Data!D$1:S$1, M5:AB5) /SUM(M5:AB5)</f>
        <v>8</v>
      </c>
      <c r="AD5" s="4">
        <f t="shared" si="0"/>
        <v>13</v>
      </c>
      <c r="AH5" s="4">
        <f>Table3[[#This Row],[Flies_per_Vial]]*Table3[[#This Row],[Vials_Total_UsedInMaze]]</f>
        <v>0</v>
      </c>
      <c r="AK5" s="29">
        <f t="shared" si="1"/>
        <v>10.183333333333334</v>
      </c>
      <c r="AL5" s="29">
        <f t="shared" si="2"/>
        <v>12.5</v>
      </c>
      <c r="AM5" s="29">
        <f>Table3[[#This Row],[end_time_num]]-Table3[[#This Row],[start_time_num]]</f>
        <v>2.3166666666666664</v>
      </c>
    </row>
    <row r="6" spans="1:40" s="4" customFormat="1" x14ac:dyDescent="0.35">
      <c r="A6" s="4">
        <v>1</v>
      </c>
      <c r="B6" s="4">
        <v>1</v>
      </c>
      <c r="C6" s="4" t="s">
        <v>155</v>
      </c>
      <c r="D6" s="4" t="s">
        <v>107</v>
      </c>
      <c r="E6" s="5">
        <v>0.64236111111111116</v>
      </c>
      <c r="F6" s="5">
        <v>0.76249999999999996</v>
      </c>
      <c r="G6" s="12">
        <v>0.1201388888888888</v>
      </c>
      <c r="H6" s="5" t="s">
        <v>136</v>
      </c>
      <c r="I6" s="4" t="s">
        <v>6</v>
      </c>
      <c r="J6" s="4">
        <v>2</v>
      </c>
      <c r="K6" s="4" t="s">
        <v>5</v>
      </c>
      <c r="L6" s="15" t="s">
        <v>0</v>
      </c>
      <c r="M6" s="4">
        <v>1</v>
      </c>
      <c r="N6" s="4">
        <v>1</v>
      </c>
      <c r="O6" s="4">
        <v>0</v>
      </c>
      <c r="P6" s="4">
        <v>0</v>
      </c>
      <c r="Q6" s="4">
        <v>0</v>
      </c>
      <c r="R6" s="4">
        <v>6</v>
      </c>
      <c r="S6" s="4">
        <v>2</v>
      </c>
      <c r="T6" s="4">
        <v>11</v>
      </c>
      <c r="U6" s="4">
        <v>7</v>
      </c>
      <c r="V6" s="4">
        <v>15</v>
      </c>
      <c r="W6" s="4">
        <v>3</v>
      </c>
      <c r="X6" s="4">
        <v>6</v>
      </c>
      <c r="Y6" s="4">
        <v>7</v>
      </c>
      <c r="Z6" s="4">
        <v>9</v>
      </c>
      <c r="AA6" s="4">
        <v>5</v>
      </c>
      <c r="AB6" s="4">
        <v>8</v>
      </c>
      <c r="AC6" s="17">
        <f>SUMPRODUCT(OG_Data!D$1:S$1, M6:AB6) /SUM(M6:AB6)</f>
        <v>10.851851851851851</v>
      </c>
      <c r="AD6" s="4">
        <f t="shared" si="0"/>
        <v>81</v>
      </c>
      <c r="AH6" s="4">
        <f>Table3[[#This Row],[Flies_per_Vial]]*Table3[[#This Row],[Vials_Total_UsedInMaze]]</f>
        <v>0</v>
      </c>
      <c r="AK6" s="29">
        <f t="shared" si="1"/>
        <v>15.416666666666668</v>
      </c>
      <c r="AL6" s="29">
        <f t="shared" si="2"/>
        <v>18.299999999999997</v>
      </c>
      <c r="AM6" s="29">
        <f>Table3[[#This Row],[end_time_num]]-Table3[[#This Row],[start_time_num]]</f>
        <v>2.8833333333333293</v>
      </c>
    </row>
    <row r="7" spans="1:40" s="4" customFormat="1" x14ac:dyDescent="0.35">
      <c r="A7" s="4">
        <v>1</v>
      </c>
      <c r="B7" s="4">
        <v>1</v>
      </c>
      <c r="C7" s="4" t="s">
        <v>155</v>
      </c>
      <c r="D7" s="4" t="s">
        <v>107</v>
      </c>
      <c r="E7" s="5">
        <v>0.64236111111111116</v>
      </c>
      <c r="F7" s="5">
        <v>0.76249999999999996</v>
      </c>
      <c r="G7" s="12">
        <v>0.1201388888888888</v>
      </c>
      <c r="H7" s="5" t="s">
        <v>136</v>
      </c>
      <c r="I7" s="4" t="s">
        <v>6</v>
      </c>
      <c r="J7" s="4">
        <v>2</v>
      </c>
      <c r="K7" s="4" t="s">
        <v>4</v>
      </c>
      <c r="L7" s="15" t="s">
        <v>3</v>
      </c>
      <c r="M7" s="4">
        <v>1</v>
      </c>
      <c r="N7" s="4">
        <v>3</v>
      </c>
      <c r="O7" s="4">
        <v>2</v>
      </c>
      <c r="P7" s="4">
        <v>1</v>
      </c>
      <c r="Q7" s="4">
        <v>2</v>
      </c>
      <c r="R7" s="4">
        <v>2</v>
      </c>
      <c r="S7" s="4">
        <v>7</v>
      </c>
      <c r="T7" s="4">
        <v>7</v>
      </c>
      <c r="U7" s="4">
        <v>8</v>
      </c>
      <c r="V7" s="4">
        <v>9</v>
      </c>
      <c r="W7" s="4">
        <v>4</v>
      </c>
      <c r="X7" s="4">
        <v>13</v>
      </c>
      <c r="Y7" s="4">
        <v>10</v>
      </c>
      <c r="Z7" s="4">
        <v>8</v>
      </c>
      <c r="AA7" s="4">
        <v>1</v>
      </c>
      <c r="AB7" s="4">
        <v>5</v>
      </c>
      <c r="AC7" s="17">
        <f>SUMPRODUCT(OG_Data!D$1:S$1, M7:AB7) /SUM(M7:AB7)</f>
        <v>10.156626506024097</v>
      </c>
      <c r="AD7" s="4">
        <f t="shared" si="0"/>
        <v>83</v>
      </c>
      <c r="AH7" s="4">
        <f>Table3[[#This Row],[Flies_per_Vial]]*Table3[[#This Row],[Vials_Total_UsedInMaze]]</f>
        <v>0</v>
      </c>
      <c r="AK7" s="29">
        <f t="shared" si="1"/>
        <v>15.416666666666668</v>
      </c>
      <c r="AL7" s="29">
        <f t="shared" si="2"/>
        <v>18.299999999999997</v>
      </c>
      <c r="AM7" s="29">
        <f>Table3[[#This Row],[end_time_num]]-Table3[[#This Row],[start_time_num]]</f>
        <v>2.8833333333333293</v>
      </c>
    </row>
    <row r="8" spans="1:40" s="4" customFormat="1" x14ac:dyDescent="0.35">
      <c r="A8" s="4">
        <v>1</v>
      </c>
      <c r="B8" s="4">
        <v>1</v>
      </c>
      <c r="C8" s="4" t="s">
        <v>155</v>
      </c>
      <c r="D8" s="4" t="s">
        <v>107</v>
      </c>
      <c r="E8" s="5">
        <v>0.64236111111111116</v>
      </c>
      <c r="F8" s="5">
        <v>0.76249999999999996</v>
      </c>
      <c r="G8" s="12">
        <v>0.1201388888888888</v>
      </c>
      <c r="H8" s="5" t="s">
        <v>136</v>
      </c>
      <c r="I8" s="4" t="s">
        <v>6</v>
      </c>
      <c r="J8" s="4">
        <v>2</v>
      </c>
      <c r="K8" s="4" t="s">
        <v>2</v>
      </c>
      <c r="L8" s="15" t="s">
        <v>3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2</v>
      </c>
      <c r="U8" s="4">
        <v>1</v>
      </c>
      <c r="V8" s="4">
        <v>0</v>
      </c>
      <c r="W8" s="4">
        <v>6</v>
      </c>
      <c r="X8" s="4">
        <v>3</v>
      </c>
      <c r="Y8" s="4">
        <v>0</v>
      </c>
      <c r="Z8" s="4">
        <v>1</v>
      </c>
      <c r="AA8" s="4">
        <v>2</v>
      </c>
      <c r="AB8" s="4">
        <v>1</v>
      </c>
      <c r="AC8" s="17">
        <f>SUMPRODUCT(OG_Data!D$1:S$1, M8:AB8) /SUM(M8:AB8)</f>
        <v>11.411764705882353</v>
      </c>
      <c r="AD8" s="4">
        <f t="shared" si="0"/>
        <v>17</v>
      </c>
      <c r="AH8" s="4">
        <f>Table3[[#This Row],[Flies_per_Vial]]*Table3[[#This Row],[Vials_Total_UsedInMaze]]</f>
        <v>0</v>
      </c>
      <c r="AK8" s="29">
        <f t="shared" si="1"/>
        <v>15.416666666666668</v>
      </c>
      <c r="AL8" s="29">
        <f t="shared" si="2"/>
        <v>18.299999999999997</v>
      </c>
      <c r="AM8" s="29">
        <f>Table3[[#This Row],[end_time_num]]-Table3[[#This Row],[start_time_num]]</f>
        <v>2.8833333333333293</v>
      </c>
    </row>
    <row r="9" spans="1:40" s="4" customFormat="1" x14ac:dyDescent="0.35">
      <c r="A9" s="4">
        <v>1</v>
      </c>
      <c r="B9" s="4">
        <v>1</v>
      </c>
      <c r="C9" s="4" t="s">
        <v>155</v>
      </c>
      <c r="D9" s="4" t="s">
        <v>107</v>
      </c>
      <c r="E9" s="5">
        <v>0.64236111111111116</v>
      </c>
      <c r="F9" s="5">
        <v>0.76249999999999996</v>
      </c>
      <c r="G9" s="12">
        <v>0.1201388888888888</v>
      </c>
      <c r="H9" s="5" t="s">
        <v>136</v>
      </c>
      <c r="I9" s="4" t="s">
        <v>6</v>
      </c>
      <c r="J9" s="4">
        <v>2</v>
      </c>
      <c r="K9" s="4" t="s">
        <v>1</v>
      </c>
      <c r="L9" s="15" t="s">
        <v>0</v>
      </c>
      <c r="M9" s="4">
        <v>0</v>
      </c>
      <c r="N9" s="4">
        <v>2</v>
      </c>
      <c r="O9" s="4">
        <v>0</v>
      </c>
      <c r="P9" s="4">
        <v>2</v>
      </c>
      <c r="Q9" s="4">
        <v>0</v>
      </c>
      <c r="R9" s="4">
        <v>0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17">
        <f>SUMPRODUCT(OG_Data!D$1:S$1, M9:AB9) /SUM(M9:AB9)</f>
        <v>5.333333333333333</v>
      </c>
      <c r="AD9" s="4">
        <f t="shared" si="0"/>
        <v>6</v>
      </c>
      <c r="AH9" s="4">
        <f>Table3[[#This Row],[Flies_per_Vial]]*Table3[[#This Row],[Vials_Total_UsedInMaze]]</f>
        <v>0</v>
      </c>
      <c r="AK9" s="29">
        <f t="shared" si="1"/>
        <v>15.416666666666668</v>
      </c>
      <c r="AL9" s="29">
        <f t="shared" si="2"/>
        <v>18.299999999999997</v>
      </c>
      <c r="AM9" s="29">
        <f>Table3[[#This Row],[end_time_num]]-Table3[[#This Row],[start_time_num]]</f>
        <v>2.8833333333333293</v>
      </c>
    </row>
    <row r="10" spans="1:40" s="4" customFormat="1" x14ac:dyDescent="0.35">
      <c r="A10" s="4">
        <v>1</v>
      </c>
      <c r="B10" s="4">
        <v>2</v>
      </c>
      <c r="C10" s="4" t="s">
        <v>154</v>
      </c>
      <c r="D10" s="4" t="s">
        <v>108</v>
      </c>
      <c r="E10" s="5">
        <v>0.38263888888888886</v>
      </c>
      <c r="F10" s="5">
        <v>0.4375</v>
      </c>
      <c r="G10" s="12">
        <v>5.4861111111111138E-2</v>
      </c>
      <c r="H10" s="5" t="s">
        <v>136</v>
      </c>
      <c r="I10" s="4" t="s">
        <v>6</v>
      </c>
      <c r="J10" s="4">
        <v>3</v>
      </c>
      <c r="K10" s="4" t="s">
        <v>5</v>
      </c>
      <c r="L10" s="15" t="s">
        <v>3</v>
      </c>
      <c r="M10" s="4">
        <v>0</v>
      </c>
      <c r="N10" s="4">
        <v>1</v>
      </c>
      <c r="O10" s="4">
        <v>0</v>
      </c>
      <c r="P10" s="4">
        <v>0</v>
      </c>
      <c r="Q10" s="4">
        <v>1</v>
      </c>
      <c r="R10" s="4">
        <v>1</v>
      </c>
      <c r="S10" s="4">
        <v>1</v>
      </c>
      <c r="T10" s="4">
        <v>4</v>
      </c>
      <c r="U10" s="4">
        <v>6</v>
      </c>
      <c r="V10" s="4">
        <v>6</v>
      </c>
      <c r="W10" s="4">
        <v>4</v>
      </c>
      <c r="X10" s="4">
        <v>0</v>
      </c>
      <c r="Y10" s="4">
        <v>0</v>
      </c>
      <c r="Z10" s="4">
        <v>1</v>
      </c>
      <c r="AA10" s="4">
        <v>1</v>
      </c>
      <c r="AB10" s="4">
        <v>0</v>
      </c>
      <c r="AC10" s="17">
        <f>SUMPRODUCT(OG_Data!D$1:S$1, M10:AB10) /SUM(M10:AB10)</f>
        <v>9.1923076923076916</v>
      </c>
      <c r="AD10" s="4">
        <f t="shared" si="0"/>
        <v>26</v>
      </c>
      <c r="AH10" s="4">
        <f>Table3[[#This Row],[Flies_per_Vial]]*Table3[[#This Row],[Vials_Total_UsedInMaze]]</f>
        <v>0</v>
      </c>
      <c r="AK10" s="29">
        <f t="shared" si="1"/>
        <v>9.1833333333333336</v>
      </c>
      <c r="AL10" s="29">
        <f t="shared" si="2"/>
        <v>10.5</v>
      </c>
      <c r="AM10" s="29">
        <f>Table3[[#This Row],[end_time_num]]-Table3[[#This Row],[start_time_num]]</f>
        <v>1.3166666666666664</v>
      </c>
    </row>
    <row r="11" spans="1:40" s="4" customFormat="1" x14ac:dyDescent="0.35">
      <c r="A11" s="4">
        <v>1</v>
      </c>
      <c r="B11" s="4">
        <v>2</v>
      </c>
      <c r="C11" s="4" t="s">
        <v>154</v>
      </c>
      <c r="D11" s="4" t="s">
        <v>108</v>
      </c>
      <c r="E11" s="5">
        <v>0.38263888888888886</v>
      </c>
      <c r="F11" s="5">
        <v>0.4375</v>
      </c>
      <c r="G11" s="12">
        <v>5.4861111111111138E-2</v>
      </c>
      <c r="H11" s="5" t="s">
        <v>136</v>
      </c>
      <c r="I11" s="4" t="s">
        <v>6</v>
      </c>
      <c r="J11" s="4">
        <v>3</v>
      </c>
      <c r="K11" s="4" t="s">
        <v>4</v>
      </c>
      <c r="L11" s="15" t="s">
        <v>0</v>
      </c>
      <c r="M11" s="4">
        <v>1</v>
      </c>
      <c r="N11" s="4">
        <v>2</v>
      </c>
      <c r="O11" s="4">
        <v>0</v>
      </c>
      <c r="P11" s="4">
        <v>0</v>
      </c>
      <c r="Q11" s="4">
        <v>3</v>
      </c>
      <c r="R11" s="4">
        <v>0</v>
      </c>
      <c r="S11" s="4">
        <v>6</v>
      </c>
      <c r="T11" s="4">
        <v>8</v>
      </c>
      <c r="U11" s="4">
        <v>3</v>
      </c>
      <c r="V11" s="4">
        <v>7</v>
      </c>
      <c r="W11" s="4">
        <v>5</v>
      </c>
      <c r="X11" s="4">
        <v>5</v>
      </c>
      <c r="Y11" s="4">
        <v>9</v>
      </c>
      <c r="Z11" s="4">
        <v>7</v>
      </c>
      <c r="AA11" s="4">
        <v>5</v>
      </c>
      <c r="AB11" s="4">
        <v>2</v>
      </c>
      <c r="AC11" s="17">
        <f>SUMPRODUCT(OG_Data!D$1:S$1, M11:AB11) /SUM(M11:AB11)</f>
        <v>10.476190476190476</v>
      </c>
      <c r="AD11" s="4">
        <f t="shared" si="0"/>
        <v>63</v>
      </c>
      <c r="AH11" s="4">
        <f>Table3[[#This Row],[Flies_per_Vial]]*Table3[[#This Row],[Vials_Total_UsedInMaze]]</f>
        <v>0</v>
      </c>
      <c r="AK11" s="29">
        <f t="shared" si="1"/>
        <v>9.1833333333333336</v>
      </c>
      <c r="AL11" s="29">
        <f t="shared" si="2"/>
        <v>10.5</v>
      </c>
      <c r="AM11" s="29">
        <f>Table3[[#This Row],[end_time_num]]-Table3[[#This Row],[start_time_num]]</f>
        <v>1.3166666666666664</v>
      </c>
    </row>
    <row r="12" spans="1:40" s="4" customFormat="1" x14ac:dyDescent="0.35">
      <c r="A12" s="4">
        <v>1</v>
      </c>
      <c r="B12" s="4">
        <v>2</v>
      </c>
      <c r="C12" s="4" t="s">
        <v>154</v>
      </c>
      <c r="D12" s="4" t="s">
        <v>108</v>
      </c>
      <c r="E12" s="5">
        <v>0.46875</v>
      </c>
      <c r="F12" s="5">
        <v>0.53125</v>
      </c>
      <c r="G12" s="12">
        <v>6.25E-2</v>
      </c>
      <c r="H12" s="5" t="s">
        <v>136</v>
      </c>
      <c r="I12" s="4" t="s">
        <v>6</v>
      </c>
      <c r="J12" s="4">
        <v>3</v>
      </c>
      <c r="K12" s="4" t="s">
        <v>5</v>
      </c>
      <c r="L12" s="15" t="s">
        <v>3</v>
      </c>
      <c r="M12" s="4">
        <v>0</v>
      </c>
      <c r="N12" s="4">
        <v>4</v>
      </c>
      <c r="O12" s="4">
        <v>2</v>
      </c>
      <c r="P12" s="4">
        <v>0</v>
      </c>
      <c r="Q12" s="4">
        <v>3</v>
      </c>
      <c r="R12" s="4">
        <v>4</v>
      </c>
      <c r="S12" s="4">
        <v>4</v>
      </c>
      <c r="T12" s="4">
        <v>11</v>
      </c>
      <c r="U12" s="4">
        <v>7</v>
      </c>
      <c r="V12" s="4">
        <v>7</v>
      </c>
      <c r="W12" s="4">
        <v>15</v>
      </c>
      <c r="X12" s="4">
        <v>10</v>
      </c>
      <c r="Y12" s="4">
        <v>5</v>
      </c>
      <c r="Z12" s="4">
        <v>10</v>
      </c>
      <c r="AA12" s="4">
        <v>2</v>
      </c>
      <c r="AB12" s="4">
        <v>2</v>
      </c>
      <c r="AC12" s="17">
        <f>SUMPRODUCT(OG_Data!D$1:S$1, M12:AB12) /SUM(M12:AB12)</f>
        <v>9.9302325581395348</v>
      </c>
      <c r="AD12" s="4">
        <f t="shared" si="0"/>
        <v>86</v>
      </c>
      <c r="AH12" s="4">
        <f>Table3[[#This Row],[Flies_per_Vial]]*Table3[[#This Row],[Vials_Total_UsedInMaze]]</f>
        <v>0</v>
      </c>
      <c r="AK12" s="29">
        <f t="shared" si="1"/>
        <v>11.25</v>
      </c>
      <c r="AL12" s="29">
        <f t="shared" si="2"/>
        <v>12.75</v>
      </c>
      <c r="AM12" s="29">
        <f>Table3[[#This Row],[end_time_num]]-Table3[[#This Row],[start_time_num]]</f>
        <v>1.5</v>
      </c>
    </row>
    <row r="13" spans="1:40" s="4" customFormat="1" x14ac:dyDescent="0.35">
      <c r="A13" s="4">
        <v>1</v>
      </c>
      <c r="B13" s="4">
        <v>2</v>
      </c>
      <c r="C13" s="4" t="s">
        <v>154</v>
      </c>
      <c r="D13" s="4" t="s">
        <v>108</v>
      </c>
      <c r="E13" s="5">
        <v>0.46875</v>
      </c>
      <c r="F13" s="5">
        <v>0.53125</v>
      </c>
      <c r="G13" s="12">
        <v>6.25E-2</v>
      </c>
      <c r="H13" s="5" t="s">
        <v>136</v>
      </c>
      <c r="I13" s="4" t="s">
        <v>6</v>
      </c>
      <c r="J13" s="4">
        <v>3</v>
      </c>
      <c r="K13" s="4" t="s">
        <v>4</v>
      </c>
      <c r="L13" s="15" t="s">
        <v>0</v>
      </c>
      <c r="M13" s="4">
        <v>4</v>
      </c>
      <c r="N13" s="4">
        <v>8</v>
      </c>
      <c r="O13" s="4">
        <v>8</v>
      </c>
      <c r="P13" s="4">
        <v>4</v>
      </c>
      <c r="Q13" s="4">
        <v>4</v>
      </c>
      <c r="R13" s="4">
        <v>5</v>
      </c>
      <c r="S13" s="4">
        <v>6</v>
      </c>
      <c r="T13" s="4">
        <v>11</v>
      </c>
      <c r="U13" s="4">
        <v>9</v>
      </c>
      <c r="V13" s="4">
        <v>6</v>
      </c>
      <c r="W13" s="4">
        <v>10</v>
      </c>
      <c r="X13" s="4">
        <v>9</v>
      </c>
      <c r="Y13" s="4">
        <v>3</v>
      </c>
      <c r="Z13" s="4">
        <v>1</v>
      </c>
      <c r="AA13" s="4">
        <v>3</v>
      </c>
      <c r="AB13" s="4">
        <v>2</v>
      </c>
      <c r="AC13" s="17">
        <f>SUMPRODUCT(OG_Data!D$1:S$1, M13:AB13) /SUM(M13:AB13)</f>
        <v>7.838709677419355</v>
      </c>
      <c r="AD13" s="4">
        <f t="shared" si="0"/>
        <v>93</v>
      </c>
      <c r="AH13" s="4">
        <f>Table3[[#This Row],[Flies_per_Vial]]*Table3[[#This Row],[Vials_Total_UsedInMaze]]</f>
        <v>0</v>
      </c>
      <c r="AK13" s="29">
        <f t="shared" si="1"/>
        <v>11.25</v>
      </c>
      <c r="AL13" s="29">
        <f t="shared" si="2"/>
        <v>12.75</v>
      </c>
      <c r="AM13" s="29">
        <f>Table3[[#This Row],[end_time_num]]-Table3[[#This Row],[start_time_num]]</f>
        <v>1.5</v>
      </c>
    </row>
    <row r="14" spans="1:40" s="4" customFormat="1" x14ac:dyDescent="0.35">
      <c r="A14" s="4">
        <v>1</v>
      </c>
      <c r="B14" s="4">
        <v>2</v>
      </c>
      <c r="C14" s="4" t="s">
        <v>155</v>
      </c>
      <c r="D14" s="4" t="s">
        <v>108</v>
      </c>
      <c r="E14" s="5">
        <v>0.56666666666666665</v>
      </c>
      <c r="F14" s="5">
        <v>0.64236111111111116</v>
      </c>
      <c r="G14" s="12">
        <v>7.5694444444444509E-2</v>
      </c>
      <c r="H14" s="5" t="s">
        <v>136</v>
      </c>
      <c r="I14" s="4" t="s">
        <v>6</v>
      </c>
      <c r="J14" s="4">
        <v>4</v>
      </c>
      <c r="K14" s="4" t="s">
        <v>5</v>
      </c>
      <c r="L14" s="15" t="s">
        <v>3</v>
      </c>
      <c r="M14" s="4">
        <v>0</v>
      </c>
      <c r="N14" s="4">
        <v>0</v>
      </c>
      <c r="O14" s="4">
        <v>0</v>
      </c>
      <c r="P14" s="4">
        <v>1</v>
      </c>
      <c r="Q14" s="4">
        <v>5</v>
      </c>
      <c r="R14" s="4">
        <v>3</v>
      </c>
      <c r="S14" s="4">
        <v>10</v>
      </c>
      <c r="T14" s="4">
        <v>3</v>
      </c>
      <c r="U14" s="4">
        <v>6</v>
      </c>
      <c r="V14" s="4">
        <v>17</v>
      </c>
      <c r="W14" s="4">
        <v>15</v>
      </c>
      <c r="X14" s="4">
        <v>6</v>
      </c>
      <c r="Y14" s="4">
        <v>6</v>
      </c>
      <c r="Z14" s="4">
        <v>3</v>
      </c>
      <c r="AA14" s="4">
        <v>0</v>
      </c>
      <c r="AB14" s="4">
        <v>2</v>
      </c>
      <c r="AC14" s="17">
        <f>SUMPRODUCT(OG_Data!D$1:S$1, M14:AB14) /SUM(M14:AB14)</f>
        <v>9.7922077922077921</v>
      </c>
      <c r="AD14" s="4">
        <f t="shared" si="0"/>
        <v>77</v>
      </c>
      <c r="AH14" s="4">
        <f>Table3[[#This Row],[Flies_per_Vial]]*Table3[[#This Row],[Vials_Total_UsedInMaze]]</f>
        <v>0</v>
      </c>
      <c r="AK14" s="29">
        <f t="shared" si="1"/>
        <v>13.6</v>
      </c>
      <c r="AL14" s="29">
        <f t="shared" si="2"/>
        <v>15.416666666666668</v>
      </c>
      <c r="AM14" s="29">
        <f>Table3[[#This Row],[end_time_num]]-Table3[[#This Row],[start_time_num]]</f>
        <v>1.8166666666666682</v>
      </c>
    </row>
    <row r="15" spans="1:40" s="4" customFormat="1" x14ac:dyDescent="0.35">
      <c r="A15" s="4">
        <v>1</v>
      </c>
      <c r="B15" s="4">
        <v>2</v>
      </c>
      <c r="C15" s="4" t="s">
        <v>155</v>
      </c>
      <c r="D15" s="4" t="s">
        <v>108</v>
      </c>
      <c r="E15" s="5">
        <v>0.56666666666666665</v>
      </c>
      <c r="F15" s="5">
        <v>0.64236111111111116</v>
      </c>
      <c r="G15" s="12">
        <v>7.5694444444444509E-2</v>
      </c>
      <c r="H15" s="5" t="s">
        <v>136</v>
      </c>
      <c r="I15" s="4" t="s">
        <v>6</v>
      </c>
      <c r="J15" s="4">
        <v>4</v>
      </c>
      <c r="K15" s="4" t="s">
        <v>4</v>
      </c>
      <c r="L15" s="15" t="s">
        <v>0</v>
      </c>
      <c r="M15" s="4">
        <v>2</v>
      </c>
      <c r="N15" s="4">
        <v>0</v>
      </c>
      <c r="O15" s="4">
        <v>6</v>
      </c>
      <c r="P15" s="4">
        <v>5</v>
      </c>
      <c r="Q15" s="4">
        <v>4</v>
      </c>
      <c r="R15" s="4">
        <v>1</v>
      </c>
      <c r="S15" s="4">
        <v>4</v>
      </c>
      <c r="T15" s="4">
        <v>6</v>
      </c>
      <c r="U15" s="4">
        <v>4</v>
      </c>
      <c r="V15" s="4">
        <v>1</v>
      </c>
      <c r="W15" s="4">
        <v>2</v>
      </c>
      <c r="X15" s="4">
        <v>3</v>
      </c>
      <c r="Y15" s="4">
        <v>1</v>
      </c>
      <c r="Z15" s="4">
        <v>0</v>
      </c>
      <c r="AA15" s="4">
        <v>1</v>
      </c>
      <c r="AB15" s="4">
        <v>0</v>
      </c>
      <c r="AC15" s="17">
        <f>SUMPRODUCT(OG_Data!D$1:S$1, M15:AB15) /SUM(M15:AB15)</f>
        <v>6.85</v>
      </c>
      <c r="AD15" s="4">
        <f t="shared" si="0"/>
        <v>40</v>
      </c>
      <c r="AH15" s="4">
        <f>Table3[[#This Row],[Flies_per_Vial]]*Table3[[#This Row],[Vials_Total_UsedInMaze]]</f>
        <v>0</v>
      </c>
      <c r="AK15" s="29">
        <f t="shared" si="1"/>
        <v>13.6</v>
      </c>
      <c r="AL15" s="29">
        <f t="shared" si="2"/>
        <v>15.416666666666668</v>
      </c>
      <c r="AM15" s="29">
        <f>Table3[[#This Row],[end_time_num]]-Table3[[#This Row],[start_time_num]]</f>
        <v>1.8166666666666682</v>
      </c>
    </row>
    <row r="16" spans="1:40" s="4" customFormat="1" x14ac:dyDescent="0.35">
      <c r="A16" s="4">
        <v>1</v>
      </c>
      <c r="B16" s="4">
        <v>2</v>
      </c>
      <c r="C16" s="4" t="s">
        <v>155</v>
      </c>
      <c r="D16" s="4" t="s">
        <v>108</v>
      </c>
      <c r="E16" s="5">
        <v>0.65972222222222221</v>
      </c>
      <c r="F16" s="5">
        <v>0.76041666666666663</v>
      </c>
      <c r="G16" s="12">
        <v>0.10069444444444442</v>
      </c>
      <c r="H16" s="5" t="s">
        <v>136</v>
      </c>
      <c r="I16" s="4" t="s">
        <v>6</v>
      </c>
      <c r="J16" s="4">
        <v>4</v>
      </c>
      <c r="K16" s="4" t="s">
        <v>5</v>
      </c>
      <c r="L16" s="15" t="s">
        <v>3</v>
      </c>
      <c r="M16" s="4">
        <v>0</v>
      </c>
      <c r="N16" s="4">
        <v>0</v>
      </c>
      <c r="O16" s="4">
        <v>1</v>
      </c>
      <c r="P16" s="4">
        <v>0</v>
      </c>
      <c r="Q16" s="4">
        <v>3</v>
      </c>
      <c r="R16" s="4">
        <v>3</v>
      </c>
      <c r="S16" s="4">
        <v>8</v>
      </c>
      <c r="T16" s="4">
        <v>4</v>
      </c>
      <c r="U16" s="4">
        <v>1</v>
      </c>
      <c r="V16" s="4">
        <v>8</v>
      </c>
      <c r="W16" s="4">
        <v>7</v>
      </c>
      <c r="X16" s="4">
        <v>10</v>
      </c>
      <c r="Y16" s="4">
        <v>9</v>
      </c>
      <c r="Z16" s="4">
        <v>6</v>
      </c>
      <c r="AA16" s="4">
        <v>0</v>
      </c>
      <c r="AB16" s="4">
        <v>1</v>
      </c>
      <c r="AC16" s="17">
        <f>SUMPRODUCT(OG_Data!D$1:S$1, M16:AB16) /SUM(M16:AB16)</f>
        <v>10.278688524590164</v>
      </c>
      <c r="AD16" s="4">
        <f t="shared" si="0"/>
        <v>61</v>
      </c>
      <c r="AH16" s="4">
        <f>Table3[[#This Row],[Flies_per_Vial]]*Table3[[#This Row],[Vials_Total_UsedInMaze]]</f>
        <v>0</v>
      </c>
      <c r="AK16" s="29">
        <f t="shared" si="1"/>
        <v>15.833333333333332</v>
      </c>
      <c r="AL16" s="29">
        <f t="shared" si="2"/>
        <v>18.25</v>
      </c>
      <c r="AM16" s="29">
        <f>Table3[[#This Row],[end_time_num]]-Table3[[#This Row],[start_time_num]]</f>
        <v>2.4166666666666679</v>
      </c>
    </row>
    <row r="17" spans="1:39" s="4" customFormat="1" x14ac:dyDescent="0.35">
      <c r="A17" s="4">
        <v>1</v>
      </c>
      <c r="B17" s="4">
        <v>2</v>
      </c>
      <c r="C17" s="4" t="s">
        <v>155</v>
      </c>
      <c r="D17" s="4" t="s">
        <v>108</v>
      </c>
      <c r="E17" s="5">
        <v>0.65972222222222221</v>
      </c>
      <c r="F17" s="5">
        <v>0.76041666666666663</v>
      </c>
      <c r="G17" s="12">
        <v>0.10069444444444442</v>
      </c>
      <c r="H17" s="5" t="s">
        <v>136</v>
      </c>
      <c r="I17" s="4" t="s">
        <v>6</v>
      </c>
      <c r="J17" s="4">
        <v>4</v>
      </c>
      <c r="K17" s="4" t="s">
        <v>4</v>
      </c>
      <c r="L17" s="15" t="s">
        <v>0</v>
      </c>
      <c r="M17" s="4">
        <v>0</v>
      </c>
      <c r="N17" s="4">
        <v>0</v>
      </c>
      <c r="O17" s="4">
        <v>3</v>
      </c>
      <c r="P17" s="4">
        <v>1</v>
      </c>
      <c r="Q17" s="4">
        <v>3</v>
      </c>
      <c r="R17" s="4">
        <v>6</v>
      </c>
      <c r="S17" s="4">
        <v>3</v>
      </c>
      <c r="T17" s="4">
        <v>8</v>
      </c>
      <c r="U17" s="4">
        <v>5</v>
      </c>
      <c r="V17" s="4">
        <v>0</v>
      </c>
      <c r="W17" s="4">
        <v>2</v>
      </c>
      <c r="X17" s="4">
        <v>5</v>
      </c>
      <c r="Y17" s="4">
        <v>2</v>
      </c>
      <c r="Z17" s="4">
        <v>3</v>
      </c>
      <c r="AA17" s="4">
        <v>0</v>
      </c>
      <c r="AB17" s="4">
        <v>1</v>
      </c>
      <c r="AC17" s="17">
        <f>SUMPRODUCT(OG_Data!D$1:S$1, M17:AB17) /SUM(M17:AB17)</f>
        <v>8.5714285714285712</v>
      </c>
      <c r="AD17" s="4">
        <f t="shared" si="0"/>
        <v>42</v>
      </c>
      <c r="AH17" s="4">
        <f>Table3[[#This Row],[Flies_per_Vial]]*Table3[[#This Row],[Vials_Total_UsedInMaze]]</f>
        <v>0</v>
      </c>
      <c r="AK17" s="29">
        <f t="shared" si="1"/>
        <v>15.833333333333332</v>
      </c>
      <c r="AL17" s="29">
        <f t="shared" si="2"/>
        <v>18.25</v>
      </c>
      <c r="AM17" s="29">
        <f>Table3[[#This Row],[end_time_num]]-Table3[[#This Row],[start_time_num]]</f>
        <v>2.4166666666666679</v>
      </c>
    </row>
    <row r="18" spans="1:39" s="4" customFormat="1" x14ac:dyDescent="0.35">
      <c r="A18" s="4">
        <v>1</v>
      </c>
      <c r="B18" s="4">
        <v>2</v>
      </c>
      <c r="C18" s="4" t="s">
        <v>155</v>
      </c>
      <c r="D18" s="4" t="s">
        <v>108</v>
      </c>
      <c r="E18" s="5">
        <v>0.77916666666666667</v>
      </c>
      <c r="F18" s="5">
        <v>0.875</v>
      </c>
      <c r="G18" s="12">
        <v>9.5833333333333326E-2</v>
      </c>
      <c r="H18" s="5" t="s">
        <v>136</v>
      </c>
      <c r="I18" s="4" t="s">
        <v>6</v>
      </c>
      <c r="J18" s="4">
        <v>1</v>
      </c>
      <c r="K18" s="4" t="s">
        <v>5</v>
      </c>
      <c r="L18" s="15" t="s">
        <v>3</v>
      </c>
      <c r="M18" s="4">
        <v>1</v>
      </c>
      <c r="N18" s="4">
        <v>1</v>
      </c>
      <c r="O18" s="4">
        <v>3</v>
      </c>
      <c r="P18" s="4">
        <v>1</v>
      </c>
      <c r="Q18" s="4">
        <v>2</v>
      </c>
      <c r="R18" s="4">
        <v>0</v>
      </c>
      <c r="S18" s="4">
        <v>7</v>
      </c>
      <c r="T18" s="4">
        <v>3</v>
      </c>
      <c r="U18" s="4">
        <v>1</v>
      </c>
      <c r="V18" s="4">
        <v>2</v>
      </c>
      <c r="W18" s="4">
        <v>1</v>
      </c>
      <c r="X18" s="4">
        <v>6</v>
      </c>
      <c r="Y18" s="4">
        <v>3</v>
      </c>
      <c r="Z18" s="4">
        <v>0</v>
      </c>
      <c r="AA18" s="4">
        <v>1</v>
      </c>
      <c r="AB18" s="4">
        <v>2</v>
      </c>
      <c r="AC18" s="17">
        <f>SUMPRODUCT(OG_Data!D$1:S$1, M18:AB18) /SUM(M18:AB18)</f>
        <v>8.735294117647058</v>
      </c>
      <c r="AD18" s="4">
        <f t="shared" si="0"/>
        <v>34</v>
      </c>
      <c r="AH18" s="4">
        <f>Table3[[#This Row],[Flies_per_Vial]]*Table3[[#This Row],[Vials_Total_UsedInMaze]]</f>
        <v>0</v>
      </c>
      <c r="AK18" s="29">
        <f t="shared" si="1"/>
        <v>18.7</v>
      </c>
      <c r="AL18" s="29">
        <f t="shared" si="2"/>
        <v>21</v>
      </c>
      <c r="AM18" s="29">
        <f>Table3[[#This Row],[end_time_num]]-Table3[[#This Row],[start_time_num]]</f>
        <v>2.3000000000000007</v>
      </c>
    </row>
    <row r="19" spans="1:39" s="4" customFormat="1" x14ac:dyDescent="0.35">
      <c r="A19" s="4">
        <v>1</v>
      </c>
      <c r="B19" s="4">
        <v>2</v>
      </c>
      <c r="C19" s="4" t="s">
        <v>155</v>
      </c>
      <c r="D19" s="4" t="s">
        <v>108</v>
      </c>
      <c r="E19" s="5">
        <v>0.77916666666666667</v>
      </c>
      <c r="F19" s="5">
        <v>0.875</v>
      </c>
      <c r="G19" s="12">
        <v>9.5833333333333326E-2</v>
      </c>
      <c r="H19" s="5" t="s">
        <v>136</v>
      </c>
      <c r="I19" s="4" t="s">
        <v>6</v>
      </c>
      <c r="J19" s="4">
        <v>2</v>
      </c>
      <c r="K19" s="4" t="s">
        <v>4</v>
      </c>
      <c r="L19" s="15" t="s">
        <v>0</v>
      </c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2</v>
      </c>
      <c r="S19" s="4">
        <v>2</v>
      </c>
      <c r="T19" s="4">
        <v>4</v>
      </c>
      <c r="U19" s="4">
        <v>3</v>
      </c>
      <c r="V19" s="4">
        <v>4</v>
      </c>
      <c r="W19" s="4">
        <v>3</v>
      </c>
      <c r="X19" s="4">
        <v>3</v>
      </c>
      <c r="Y19" s="4">
        <v>3</v>
      </c>
      <c r="Z19" s="4">
        <v>1</v>
      </c>
      <c r="AA19" s="4">
        <v>0</v>
      </c>
      <c r="AB19" s="4">
        <v>1</v>
      </c>
      <c r="AC19" s="17">
        <f>SUMPRODUCT(OG_Data!D$1:S$1, M19:AB19) /SUM(M19:AB19)</f>
        <v>9.9259259259259256</v>
      </c>
      <c r="AD19" s="4">
        <f t="shared" si="0"/>
        <v>27</v>
      </c>
      <c r="AH19" s="4">
        <f>Table3[[#This Row],[Flies_per_Vial]]*Table3[[#This Row],[Vials_Total_UsedInMaze]]</f>
        <v>0</v>
      </c>
      <c r="AK19" s="29">
        <f t="shared" si="1"/>
        <v>18.7</v>
      </c>
      <c r="AL19" s="29">
        <f t="shared" si="2"/>
        <v>21</v>
      </c>
      <c r="AM19" s="29">
        <f>Table3[[#This Row],[end_time_num]]-Table3[[#This Row],[start_time_num]]</f>
        <v>2.3000000000000007</v>
      </c>
    </row>
    <row r="20" spans="1:39" s="4" customFormat="1" x14ac:dyDescent="0.35">
      <c r="A20" s="4">
        <v>1</v>
      </c>
      <c r="B20" s="4">
        <v>3</v>
      </c>
      <c r="C20" s="4" t="s">
        <v>154</v>
      </c>
      <c r="D20" s="4" t="s">
        <v>110</v>
      </c>
      <c r="E20" s="5">
        <v>0.41666666666666669</v>
      </c>
      <c r="F20" s="5">
        <v>0.47013888888888888</v>
      </c>
      <c r="G20" s="12">
        <v>5.3472222222222199E-2</v>
      </c>
      <c r="H20" s="5" t="s">
        <v>136</v>
      </c>
      <c r="I20" s="4" t="s">
        <v>2</v>
      </c>
      <c r="J20" s="4">
        <v>1</v>
      </c>
      <c r="K20" s="4" t="s">
        <v>5</v>
      </c>
      <c r="L20" s="15" t="s">
        <v>3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2</v>
      </c>
      <c r="T20" s="4">
        <v>6</v>
      </c>
      <c r="U20" s="4">
        <v>4</v>
      </c>
      <c r="V20" s="4">
        <v>14</v>
      </c>
      <c r="W20" s="4">
        <v>6</v>
      </c>
      <c r="X20" s="4">
        <v>5</v>
      </c>
      <c r="Y20" s="4">
        <v>2</v>
      </c>
      <c r="Z20" s="4">
        <v>4</v>
      </c>
      <c r="AA20" s="4">
        <v>1</v>
      </c>
      <c r="AB20" s="4">
        <v>2</v>
      </c>
      <c r="AC20" s="17">
        <f>SUMPRODUCT(OG_Data!D$1:S$1, M20:AB20) /SUM(M20:AB20)</f>
        <v>10.5</v>
      </c>
      <c r="AD20" s="4">
        <f t="shared" si="0"/>
        <v>48</v>
      </c>
      <c r="AH20" s="4">
        <f>Table3[[#This Row],[Flies_per_Vial]]*Table3[[#This Row],[Vials_Total_UsedInMaze]]</f>
        <v>0</v>
      </c>
      <c r="AK20" s="29">
        <f t="shared" si="1"/>
        <v>10</v>
      </c>
      <c r="AL20" s="29">
        <f t="shared" si="2"/>
        <v>11.283333333333333</v>
      </c>
      <c r="AM20" s="29">
        <f>Table3[[#This Row],[end_time_num]]-Table3[[#This Row],[start_time_num]]</f>
        <v>1.2833333333333332</v>
      </c>
    </row>
    <row r="21" spans="1:39" s="4" customFormat="1" x14ac:dyDescent="0.35">
      <c r="A21" s="4">
        <v>1</v>
      </c>
      <c r="B21" s="4">
        <v>3</v>
      </c>
      <c r="C21" s="4" t="s">
        <v>154</v>
      </c>
      <c r="D21" s="4" t="s">
        <v>110</v>
      </c>
      <c r="E21" s="5">
        <v>0.41666666666666669</v>
      </c>
      <c r="F21" s="5">
        <v>0.47013888888888888</v>
      </c>
      <c r="G21" s="12">
        <v>5.3472222222222199E-2</v>
      </c>
      <c r="H21" s="5" t="s">
        <v>136</v>
      </c>
      <c r="I21" s="4" t="s">
        <v>2</v>
      </c>
      <c r="J21" s="4">
        <v>1</v>
      </c>
      <c r="K21" s="4" t="s">
        <v>4</v>
      </c>
      <c r="L21" s="15" t="s">
        <v>0</v>
      </c>
      <c r="M21" s="4">
        <v>4</v>
      </c>
      <c r="N21" s="4">
        <v>3</v>
      </c>
      <c r="O21" s="4">
        <v>0</v>
      </c>
      <c r="P21" s="4">
        <v>0</v>
      </c>
      <c r="Q21" s="4">
        <v>2</v>
      </c>
      <c r="R21" s="4">
        <v>2</v>
      </c>
      <c r="S21" s="4">
        <v>4</v>
      </c>
      <c r="T21" s="4">
        <v>3</v>
      </c>
      <c r="U21" s="4">
        <v>0</v>
      </c>
      <c r="V21" s="4">
        <v>5</v>
      </c>
      <c r="W21" s="4">
        <v>3</v>
      </c>
      <c r="X21" s="4">
        <v>9</v>
      </c>
      <c r="Y21" s="4">
        <v>5</v>
      </c>
      <c r="Z21" s="4">
        <v>4</v>
      </c>
      <c r="AA21" s="4">
        <v>2</v>
      </c>
      <c r="AB21" s="4">
        <v>3</v>
      </c>
      <c r="AC21" s="17">
        <f>SUMPRODUCT(OG_Data!D$1:S$1, M21:AB21) /SUM(M21:AB21)</f>
        <v>9.6734693877551017</v>
      </c>
      <c r="AD21" s="4">
        <f t="shared" si="0"/>
        <v>49</v>
      </c>
      <c r="AH21" s="4">
        <f>Table3[[#This Row],[Flies_per_Vial]]*Table3[[#This Row],[Vials_Total_UsedInMaze]]</f>
        <v>0</v>
      </c>
      <c r="AK21" s="29">
        <f t="shared" si="1"/>
        <v>10</v>
      </c>
      <c r="AL21" s="29">
        <f t="shared" si="2"/>
        <v>11.283333333333333</v>
      </c>
      <c r="AM21" s="29">
        <f>Table3[[#This Row],[end_time_num]]-Table3[[#This Row],[start_time_num]]</f>
        <v>1.2833333333333332</v>
      </c>
    </row>
    <row r="22" spans="1:39" s="4" customFormat="1" x14ac:dyDescent="0.35">
      <c r="A22" s="4">
        <v>1</v>
      </c>
      <c r="B22" s="4">
        <v>3</v>
      </c>
      <c r="C22" s="4" t="s">
        <v>154</v>
      </c>
      <c r="D22" s="4" t="s">
        <v>110</v>
      </c>
      <c r="E22" s="5">
        <v>0.48749999999999999</v>
      </c>
      <c r="F22" s="5">
        <v>0.56944444444444442</v>
      </c>
      <c r="G22" s="12">
        <v>8.1944444444444431E-2</v>
      </c>
      <c r="H22" s="5" t="s">
        <v>136</v>
      </c>
      <c r="I22" s="4" t="s">
        <v>2</v>
      </c>
      <c r="J22" s="4">
        <v>2</v>
      </c>
      <c r="K22" s="4" t="s">
        <v>5</v>
      </c>
      <c r="L22" s="15" t="s">
        <v>3</v>
      </c>
      <c r="M22" s="4">
        <v>0</v>
      </c>
      <c r="N22" s="4">
        <v>1</v>
      </c>
      <c r="O22" s="4">
        <v>0</v>
      </c>
      <c r="P22" s="4">
        <v>2</v>
      </c>
      <c r="Q22" s="4">
        <v>1</v>
      </c>
      <c r="R22" s="4">
        <v>1</v>
      </c>
      <c r="S22" s="4">
        <v>6</v>
      </c>
      <c r="T22" s="4">
        <v>10</v>
      </c>
      <c r="U22" s="4">
        <v>8</v>
      </c>
      <c r="V22" s="4">
        <v>6</v>
      </c>
      <c r="W22" s="4">
        <v>10</v>
      </c>
      <c r="X22" s="4">
        <v>9</v>
      </c>
      <c r="Y22" s="4">
        <v>7</v>
      </c>
      <c r="Z22" s="4">
        <v>2</v>
      </c>
      <c r="AA22" s="4">
        <v>5</v>
      </c>
      <c r="AB22" s="4">
        <v>0</v>
      </c>
      <c r="AC22" s="17">
        <f>SUMPRODUCT(OG_Data!D$1:S$1, M22:AB22) /SUM(M22:AB22)</f>
        <v>10.102941176470589</v>
      </c>
      <c r="AD22" s="4">
        <f t="shared" si="0"/>
        <v>68</v>
      </c>
      <c r="AH22" s="4">
        <f>Table3[[#This Row],[Flies_per_Vial]]*Table3[[#This Row],[Vials_Total_UsedInMaze]]</f>
        <v>0</v>
      </c>
      <c r="AK22" s="29">
        <f t="shared" si="1"/>
        <v>11.7</v>
      </c>
      <c r="AL22" s="29">
        <f t="shared" si="2"/>
        <v>13.666666666666666</v>
      </c>
      <c r="AM22" s="29">
        <f>Table3[[#This Row],[end_time_num]]-Table3[[#This Row],[start_time_num]]</f>
        <v>1.9666666666666668</v>
      </c>
    </row>
    <row r="23" spans="1:39" s="4" customFormat="1" x14ac:dyDescent="0.35">
      <c r="A23" s="4">
        <v>1</v>
      </c>
      <c r="B23" s="4">
        <v>3</v>
      </c>
      <c r="C23" s="4" t="s">
        <v>154</v>
      </c>
      <c r="D23" s="4" t="s">
        <v>110</v>
      </c>
      <c r="E23" s="5">
        <v>0.48749999999999999</v>
      </c>
      <c r="F23" s="5">
        <v>0.56944444444444442</v>
      </c>
      <c r="G23" s="12">
        <v>8.1944444444444431E-2</v>
      </c>
      <c r="H23" s="5" t="s">
        <v>136</v>
      </c>
      <c r="I23" s="4" t="s">
        <v>2</v>
      </c>
      <c r="J23" s="4">
        <v>2</v>
      </c>
      <c r="K23" s="4" t="s">
        <v>4</v>
      </c>
      <c r="L23" s="15" t="s">
        <v>0</v>
      </c>
      <c r="M23" s="4">
        <v>9</v>
      </c>
      <c r="N23" s="4">
        <v>9</v>
      </c>
      <c r="O23" s="4">
        <v>3</v>
      </c>
      <c r="P23" s="4">
        <v>0</v>
      </c>
      <c r="Q23" s="4">
        <v>1</v>
      </c>
      <c r="R23" s="4">
        <v>2</v>
      </c>
      <c r="S23" s="4">
        <v>1</v>
      </c>
      <c r="T23" s="4">
        <v>1</v>
      </c>
      <c r="U23" s="4">
        <v>2</v>
      </c>
      <c r="V23" s="4">
        <v>3</v>
      </c>
      <c r="W23" s="4">
        <v>2</v>
      </c>
      <c r="X23" s="4">
        <v>2</v>
      </c>
      <c r="Y23" s="4">
        <v>0</v>
      </c>
      <c r="Z23" s="4">
        <v>2</v>
      </c>
      <c r="AA23" s="4">
        <v>6</v>
      </c>
      <c r="AB23" s="4">
        <v>1</v>
      </c>
      <c r="AC23" s="17">
        <f>SUMPRODUCT(OG_Data!D$1:S$1, M23:AB23) /SUM(M23:AB23)</f>
        <v>6.7272727272727275</v>
      </c>
      <c r="AD23" s="4">
        <f t="shared" si="0"/>
        <v>44</v>
      </c>
      <c r="AH23" s="4">
        <f>Table3[[#This Row],[Flies_per_Vial]]*Table3[[#This Row],[Vials_Total_UsedInMaze]]</f>
        <v>0</v>
      </c>
      <c r="AK23" s="29">
        <f t="shared" si="1"/>
        <v>11.7</v>
      </c>
      <c r="AL23" s="29">
        <f t="shared" si="2"/>
        <v>13.666666666666666</v>
      </c>
      <c r="AM23" s="29">
        <f>Table3[[#This Row],[end_time_num]]-Table3[[#This Row],[start_time_num]]</f>
        <v>1.9666666666666668</v>
      </c>
    </row>
    <row r="24" spans="1:39" s="4" customFormat="1" x14ac:dyDescent="0.35">
      <c r="A24" s="4">
        <v>1</v>
      </c>
      <c r="B24" s="4">
        <v>3</v>
      </c>
      <c r="C24" s="4" t="s">
        <v>155</v>
      </c>
      <c r="D24" s="4" t="s">
        <v>110</v>
      </c>
      <c r="E24" s="5">
        <v>0.58611111111111114</v>
      </c>
      <c r="F24" s="5">
        <v>0.66666666666666663</v>
      </c>
      <c r="G24" s="12">
        <v>8.0555555555555491E-2</v>
      </c>
      <c r="H24" s="5" t="s">
        <v>136</v>
      </c>
      <c r="I24" s="4" t="s">
        <v>2</v>
      </c>
      <c r="J24" s="4">
        <v>3</v>
      </c>
      <c r="K24" s="4" t="s">
        <v>5</v>
      </c>
      <c r="L24" s="15" t="s">
        <v>3</v>
      </c>
      <c r="M24" s="4">
        <v>0</v>
      </c>
      <c r="N24" s="4">
        <v>0</v>
      </c>
      <c r="O24" s="4">
        <v>0</v>
      </c>
      <c r="P24" s="4">
        <v>0</v>
      </c>
      <c r="Q24" s="4">
        <v>3</v>
      </c>
      <c r="R24" s="4">
        <v>2</v>
      </c>
      <c r="S24" s="4">
        <v>4</v>
      </c>
      <c r="T24" s="4">
        <v>7</v>
      </c>
      <c r="U24" s="4">
        <v>2</v>
      </c>
      <c r="V24" s="4">
        <v>4</v>
      </c>
      <c r="W24" s="4">
        <v>9</v>
      </c>
      <c r="X24" s="4">
        <v>8</v>
      </c>
      <c r="Y24" s="4">
        <v>6</v>
      </c>
      <c r="Z24" s="4">
        <v>4</v>
      </c>
      <c r="AA24" s="4">
        <v>8</v>
      </c>
      <c r="AB24" s="4">
        <v>2</v>
      </c>
      <c r="AC24" s="17">
        <f>SUMPRODUCT(OG_Data!D$1:S$1, M24:AB24) /SUM(M24:AB24)</f>
        <v>11.016949152542374</v>
      </c>
      <c r="AD24" s="4">
        <f t="shared" si="0"/>
        <v>59</v>
      </c>
      <c r="AH24" s="4">
        <f>Table3[[#This Row],[Flies_per_Vial]]*Table3[[#This Row],[Vials_Total_UsedInMaze]]</f>
        <v>0</v>
      </c>
      <c r="AK24" s="29">
        <f t="shared" si="1"/>
        <v>14.066666666666666</v>
      </c>
      <c r="AL24" s="29">
        <f t="shared" si="2"/>
        <v>16</v>
      </c>
      <c r="AM24" s="29">
        <f>Table3[[#This Row],[end_time_num]]-Table3[[#This Row],[start_time_num]]</f>
        <v>1.9333333333333336</v>
      </c>
    </row>
    <row r="25" spans="1:39" s="4" customFormat="1" x14ac:dyDescent="0.35">
      <c r="A25" s="4">
        <v>1</v>
      </c>
      <c r="B25" s="4">
        <v>3</v>
      </c>
      <c r="C25" s="4" t="s">
        <v>155</v>
      </c>
      <c r="D25" s="4" t="s">
        <v>110</v>
      </c>
      <c r="E25" s="5">
        <v>0.58611111111111114</v>
      </c>
      <c r="F25" s="5">
        <v>0.66666666666666663</v>
      </c>
      <c r="G25" s="12">
        <v>8.0555555555555491E-2</v>
      </c>
      <c r="H25" s="5" t="s">
        <v>136</v>
      </c>
      <c r="I25" s="4" t="s">
        <v>2</v>
      </c>
      <c r="J25" s="4">
        <v>3</v>
      </c>
      <c r="K25" s="4" t="s">
        <v>4</v>
      </c>
      <c r="L25" s="15" t="s">
        <v>0</v>
      </c>
      <c r="M25" s="4">
        <v>9</v>
      </c>
      <c r="N25" s="4">
        <v>5</v>
      </c>
      <c r="O25" s="4">
        <v>4</v>
      </c>
      <c r="P25" s="4">
        <v>1</v>
      </c>
      <c r="Q25" s="4">
        <v>3</v>
      </c>
      <c r="R25" s="4">
        <v>2</v>
      </c>
      <c r="S25" s="4">
        <v>1</v>
      </c>
      <c r="T25" s="4">
        <v>3</v>
      </c>
      <c r="U25" s="4">
        <v>2</v>
      </c>
      <c r="V25" s="4">
        <v>3</v>
      </c>
      <c r="W25" s="4">
        <v>0</v>
      </c>
      <c r="X25" s="4">
        <v>0</v>
      </c>
      <c r="Y25" s="4">
        <v>1</v>
      </c>
      <c r="Z25" s="4">
        <v>5</v>
      </c>
      <c r="AA25" s="4">
        <v>3</v>
      </c>
      <c r="AB25" s="4">
        <v>3</v>
      </c>
      <c r="AC25" s="17">
        <f>SUMPRODUCT(OG_Data!D$1:S$1, M25:AB25) /SUM(M25:AB25)</f>
        <v>7.0444444444444443</v>
      </c>
      <c r="AD25" s="4">
        <f t="shared" si="0"/>
        <v>45</v>
      </c>
      <c r="AH25" s="4">
        <f>Table3[[#This Row],[Flies_per_Vial]]*Table3[[#This Row],[Vials_Total_UsedInMaze]]</f>
        <v>0</v>
      </c>
      <c r="AK25" s="29">
        <f t="shared" si="1"/>
        <v>14.066666666666666</v>
      </c>
      <c r="AL25" s="29">
        <f t="shared" si="2"/>
        <v>16</v>
      </c>
      <c r="AM25" s="29">
        <f>Table3[[#This Row],[end_time_num]]-Table3[[#This Row],[start_time_num]]</f>
        <v>1.9333333333333336</v>
      </c>
    </row>
    <row r="26" spans="1:39" s="4" customFormat="1" x14ac:dyDescent="0.35">
      <c r="A26" s="4">
        <v>1</v>
      </c>
      <c r="B26" s="4">
        <v>3</v>
      </c>
      <c r="C26" s="4" t="s">
        <v>155</v>
      </c>
      <c r="D26" s="4" t="s">
        <v>110</v>
      </c>
      <c r="E26" s="5">
        <v>0.6791666666666667</v>
      </c>
      <c r="F26" s="5">
        <v>0.79166666666666663</v>
      </c>
      <c r="G26" s="12">
        <v>0.11249999999999993</v>
      </c>
      <c r="H26" s="5" t="s">
        <v>136</v>
      </c>
      <c r="I26" s="4" t="s">
        <v>2</v>
      </c>
      <c r="J26" s="4">
        <v>4</v>
      </c>
      <c r="K26" s="4" t="s">
        <v>5</v>
      </c>
      <c r="L26" s="15" t="s">
        <v>3</v>
      </c>
      <c r="M26" s="4">
        <v>0</v>
      </c>
      <c r="N26" s="4">
        <v>1</v>
      </c>
      <c r="O26" s="4">
        <v>0</v>
      </c>
      <c r="P26" s="4">
        <v>0</v>
      </c>
      <c r="Q26" s="4">
        <v>2</v>
      </c>
      <c r="R26" s="4">
        <v>6</v>
      </c>
      <c r="S26" s="4">
        <v>4</v>
      </c>
      <c r="T26" s="4">
        <v>5</v>
      </c>
      <c r="U26" s="4">
        <v>3</v>
      </c>
      <c r="V26" s="4">
        <v>8</v>
      </c>
      <c r="W26" s="4">
        <v>9</v>
      </c>
      <c r="X26" s="4">
        <v>6</v>
      </c>
      <c r="Y26" s="4">
        <v>10</v>
      </c>
      <c r="Z26" s="4">
        <v>5</v>
      </c>
      <c r="AA26" s="4">
        <v>6</v>
      </c>
      <c r="AB26" s="4">
        <v>1</v>
      </c>
      <c r="AC26" s="17">
        <f>SUMPRODUCT(OG_Data!D$1:S$1, M26:AB26) /SUM(M26:AB26)</f>
        <v>10.606060606060606</v>
      </c>
      <c r="AD26" s="4">
        <f t="shared" si="0"/>
        <v>66</v>
      </c>
      <c r="AH26" s="4">
        <f>Table3[[#This Row],[Flies_per_Vial]]*Table3[[#This Row],[Vials_Total_UsedInMaze]]</f>
        <v>0</v>
      </c>
      <c r="AK26" s="29">
        <f t="shared" si="1"/>
        <v>16.3</v>
      </c>
      <c r="AL26" s="29">
        <f t="shared" si="2"/>
        <v>19</v>
      </c>
      <c r="AM26" s="29">
        <f>Table3[[#This Row],[end_time_num]]-Table3[[#This Row],[start_time_num]]</f>
        <v>2.6999999999999993</v>
      </c>
    </row>
    <row r="27" spans="1:39" s="4" customFormat="1" x14ac:dyDescent="0.35">
      <c r="A27" s="4">
        <v>1</v>
      </c>
      <c r="B27" s="4">
        <v>3</v>
      </c>
      <c r="C27" s="4" t="s">
        <v>155</v>
      </c>
      <c r="D27" s="4" t="s">
        <v>110</v>
      </c>
      <c r="E27" s="5">
        <v>0.6791666666666667</v>
      </c>
      <c r="F27" s="5">
        <v>0.79166666666666663</v>
      </c>
      <c r="G27" s="12">
        <v>0.11249999999999993</v>
      </c>
      <c r="H27" s="5" t="s">
        <v>136</v>
      </c>
      <c r="I27" s="4" t="s">
        <v>2</v>
      </c>
      <c r="J27" s="4">
        <v>4</v>
      </c>
      <c r="K27" s="4" t="s">
        <v>4</v>
      </c>
      <c r="L27" s="15" t="s">
        <v>0</v>
      </c>
      <c r="M27" s="4">
        <v>14</v>
      </c>
      <c r="N27" s="4">
        <v>13</v>
      </c>
      <c r="O27" s="4">
        <v>4</v>
      </c>
      <c r="P27" s="4">
        <v>1</v>
      </c>
      <c r="Q27" s="4">
        <v>2</v>
      </c>
      <c r="R27" s="4">
        <v>2</v>
      </c>
      <c r="S27" s="4">
        <v>4</v>
      </c>
      <c r="T27" s="4">
        <v>4</v>
      </c>
      <c r="U27" s="4">
        <v>3</v>
      </c>
      <c r="V27" s="4">
        <v>4</v>
      </c>
      <c r="W27" s="4">
        <v>1</v>
      </c>
      <c r="X27" s="4">
        <v>3</v>
      </c>
      <c r="Y27" s="4">
        <v>6</v>
      </c>
      <c r="Z27" s="4">
        <v>7</v>
      </c>
      <c r="AA27" s="4">
        <v>6</v>
      </c>
      <c r="AB27" s="4">
        <v>8</v>
      </c>
      <c r="AC27" s="17">
        <f>SUMPRODUCT(OG_Data!D$1:S$1, M27:AB27) /SUM(M27:AB27)</f>
        <v>7.8780487804878048</v>
      </c>
      <c r="AD27" s="4">
        <f t="shared" si="0"/>
        <v>82</v>
      </c>
      <c r="AH27" s="4">
        <f>Table3[[#This Row],[Flies_per_Vial]]*Table3[[#This Row],[Vials_Total_UsedInMaze]]</f>
        <v>0</v>
      </c>
      <c r="AK27" s="29">
        <f t="shared" si="1"/>
        <v>16.3</v>
      </c>
      <c r="AL27" s="29">
        <f t="shared" si="2"/>
        <v>19</v>
      </c>
      <c r="AM27" s="29">
        <f>Table3[[#This Row],[end_time_num]]-Table3[[#This Row],[start_time_num]]</f>
        <v>2.6999999999999993</v>
      </c>
    </row>
    <row r="28" spans="1:39" x14ac:dyDescent="0.35">
      <c r="A28">
        <v>2</v>
      </c>
      <c r="B28">
        <v>1</v>
      </c>
      <c r="C28" t="s">
        <v>154</v>
      </c>
      <c r="D28" t="s">
        <v>111</v>
      </c>
      <c r="E28" s="2">
        <v>0.46319444444444446</v>
      </c>
      <c r="G28" s="13"/>
      <c r="H28" s="2" t="s">
        <v>136</v>
      </c>
      <c r="I28" t="s">
        <v>6</v>
      </c>
      <c r="J28">
        <v>1</v>
      </c>
      <c r="K28" t="s">
        <v>5</v>
      </c>
      <c r="L28" s="14" t="s">
        <v>0</v>
      </c>
      <c r="M28">
        <v>0</v>
      </c>
      <c r="N28">
        <v>0</v>
      </c>
      <c r="O28">
        <v>1</v>
      </c>
      <c r="P28">
        <v>2</v>
      </c>
      <c r="Q28">
        <v>2</v>
      </c>
      <c r="R28">
        <v>2</v>
      </c>
      <c r="S28">
        <v>2</v>
      </c>
      <c r="T28">
        <v>4</v>
      </c>
      <c r="U28">
        <v>9</v>
      </c>
      <c r="V28">
        <v>10</v>
      </c>
      <c r="W28">
        <v>10</v>
      </c>
      <c r="X28">
        <v>7</v>
      </c>
      <c r="Y28">
        <v>4</v>
      </c>
      <c r="Z28">
        <v>2</v>
      </c>
      <c r="AA28">
        <v>14</v>
      </c>
      <c r="AB28">
        <v>3</v>
      </c>
      <c r="AC28" s="18">
        <f>SUMPRODUCT(OG_Data!D$1:S$1, M28:AB28) /SUM(M28:AB28)</f>
        <v>11</v>
      </c>
      <c r="AD28">
        <f t="shared" si="0"/>
        <v>72</v>
      </c>
      <c r="AH28">
        <f>Table3[[#This Row],[Flies_per_Vial]]*Table3[[#This Row],[Vials_Total_UsedInMaze]]</f>
        <v>0</v>
      </c>
      <c r="AI28"/>
      <c r="AJ28"/>
      <c r="AK28" s="31">
        <f t="shared" ref="AK28:AK59" si="3">24*E28</f>
        <v>11.116666666666667</v>
      </c>
      <c r="AL28" s="31"/>
      <c r="AM28" s="31"/>
    </row>
    <row r="29" spans="1:39" x14ac:dyDescent="0.35">
      <c r="A29">
        <v>2</v>
      </c>
      <c r="B29">
        <v>1</v>
      </c>
      <c r="C29" t="s">
        <v>154</v>
      </c>
      <c r="D29" t="s">
        <v>111</v>
      </c>
      <c r="E29" s="2">
        <v>0.46319444444444446</v>
      </c>
      <c r="G29" s="13"/>
      <c r="H29" s="2" t="s">
        <v>136</v>
      </c>
      <c r="I29" t="s">
        <v>6</v>
      </c>
      <c r="J29">
        <v>1</v>
      </c>
      <c r="K29" t="s">
        <v>4</v>
      </c>
      <c r="L29" s="14" t="s">
        <v>3</v>
      </c>
      <c r="M29">
        <v>0</v>
      </c>
      <c r="N29">
        <v>3</v>
      </c>
      <c r="O29">
        <v>2</v>
      </c>
      <c r="P29">
        <v>2</v>
      </c>
      <c r="Q29">
        <v>3</v>
      </c>
      <c r="R29">
        <v>3</v>
      </c>
      <c r="S29">
        <v>12</v>
      </c>
      <c r="T29">
        <v>11</v>
      </c>
      <c r="U29">
        <v>10</v>
      </c>
      <c r="V29">
        <v>9</v>
      </c>
      <c r="W29">
        <v>9</v>
      </c>
      <c r="X29">
        <v>4</v>
      </c>
      <c r="Y29">
        <v>7</v>
      </c>
      <c r="Z29">
        <v>5</v>
      </c>
      <c r="AA29">
        <v>6</v>
      </c>
      <c r="AB29">
        <v>2</v>
      </c>
      <c r="AC29" s="18">
        <f>SUMPRODUCT(OG_Data!D$1:S$1, M29:AB29) /SUM(M29:AB29)</f>
        <v>9.4886363636363633</v>
      </c>
      <c r="AD29">
        <f t="shared" si="0"/>
        <v>88</v>
      </c>
      <c r="AH29">
        <f>Table3[[#This Row],[Flies_per_Vial]]*Table3[[#This Row],[Vials_Total_UsedInMaze]]</f>
        <v>0</v>
      </c>
      <c r="AI29"/>
      <c r="AJ29"/>
      <c r="AK29" s="31">
        <f t="shared" si="3"/>
        <v>11.116666666666667</v>
      </c>
      <c r="AL29" s="31"/>
      <c r="AM29" s="31"/>
    </row>
    <row r="30" spans="1:39" x14ac:dyDescent="0.35">
      <c r="A30">
        <v>2</v>
      </c>
      <c r="B30">
        <v>1</v>
      </c>
      <c r="C30" t="s">
        <v>154</v>
      </c>
      <c r="D30" t="s">
        <v>111</v>
      </c>
      <c r="E30" s="2">
        <v>0.46319444444444446</v>
      </c>
      <c r="G30" s="13"/>
      <c r="H30" s="2" t="s">
        <v>136</v>
      </c>
      <c r="I30" t="s">
        <v>6</v>
      </c>
      <c r="J30">
        <v>1</v>
      </c>
      <c r="K30" t="s">
        <v>2</v>
      </c>
      <c r="L30" s="14" t="s">
        <v>3</v>
      </c>
      <c r="M30">
        <v>1</v>
      </c>
      <c r="N30">
        <v>6</v>
      </c>
      <c r="O30">
        <v>5</v>
      </c>
      <c r="P30">
        <v>2</v>
      </c>
      <c r="Q30">
        <v>3</v>
      </c>
      <c r="R30">
        <v>4</v>
      </c>
      <c r="S30">
        <v>3</v>
      </c>
      <c r="T30">
        <v>3</v>
      </c>
      <c r="U30">
        <v>3</v>
      </c>
      <c r="V30">
        <v>3</v>
      </c>
      <c r="W30">
        <v>2</v>
      </c>
      <c r="X30">
        <v>1</v>
      </c>
      <c r="Y30">
        <v>1</v>
      </c>
      <c r="Z30">
        <v>0</v>
      </c>
      <c r="AA30">
        <v>1</v>
      </c>
      <c r="AB30">
        <v>5</v>
      </c>
      <c r="AC30" s="18">
        <f>SUMPRODUCT(OG_Data!D$1:S$1, M30:AB30) /SUM(M30:AB30)</f>
        <v>7.4186046511627906</v>
      </c>
      <c r="AD30">
        <f t="shared" si="0"/>
        <v>43</v>
      </c>
      <c r="AH30">
        <f>Table3[[#This Row],[Flies_per_Vial]]*Table3[[#This Row],[Vials_Total_UsedInMaze]]</f>
        <v>0</v>
      </c>
      <c r="AI30"/>
      <c r="AJ30"/>
      <c r="AK30" s="31">
        <f t="shared" si="3"/>
        <v>11.116666666666667</v>
      </c>
      <c r="AL30" s="31"/>
      <c r="AM30" s="31"/>
    </row>
    <row r="31" spans="1:39" x14ac:dyDescent="0.35">
      <c r="A31">
        <v>2</v>
      </c>
      <c r="B31">
        <v>1</v>
      </c>
      <c r="C31" t="s">
        <v>154</v>
      </c>
      <c r="D31" t="s">
        <v>111</v>
      </c>
      <c r="E31" s="2">
        <v>0.46319444444444446</v>
      </c>
      <c r="G31" s="13"/>
      <c r="H31" s="2" t="s">
        <v>136</v>
      </c>
      <c r="I31" t="s">
        <v>6</v>
      </c>
      <c r="J31">
        <v>1</v>
      </c>
      <c r="K31" t="s">
        <v>1</v>
      </c>
      <c r="L31" s="14" t="s">
        <v>0</v>
      </c>
      <c r="M31">
        <v>0</v>
      </c>
      <c r="N31">
        <v>3</v>
      </c>
      <c r="O31">
        <v>6</v>
      </c>
      <c r="P31">
        <v>5</v>
      </c>
      <c r="Q31">
        <v>10</v>
      </c>
      <c r="R31">
        <v>7</v>
      </c>
      <c r="S31">
        <v>11</v>
      </c>
      <c r="T31">
        <v>10</v>
      </c>
      <c r="U31">
        <v>6</v>
      </c>
      <c r="V31">
        <v>3</v>
      </c>
      <c r="W31">
        <v>9</v>
      </c>
      <c r="X31">
        <v>9</v>
      </c>
      <c r="Y31">
        <v>2</v>
      </c>
      <c r="Z31">
        <v>3</v>
      </c>
      <c r="AA31">
        <v>0</v>
      </c>
      <c r="AB31">
        <v>0</v>
      </c>
      <c r="AC31" s="18">
        <f>SUMPRODUCT(OG_Data!D$1:S$1, M31:AB31) /SUM(M31:AB31)</f>
        <v>7.7619047619047619</v>
      </c>
      <c r="AD31">
        <f t="shared" si="0"/>
        <v>84</v>
      </c>
      <c r="AH31">
        <f>Table3[[#This Row],[Flies_per_Vial]]*Table3[[#This Row],[Vials_Total_UsedInMaze]]</f>
        <v>0</v>
      </c>
      <c r="AI31"/>
      <c r="AJ31"/>
      <c r="AK31" s="31">
        <f t="shared" si="3"/>
        <v>11.116666666666667</v>
      </c>
      <c r="AL31" s="31"/>
      <c r="AM31" s="31"/>
    </row>
    <row r="32" spans="1:39" x14ac:dyDescent="0.35">
      <c r="A32">
        <v>2</v>
      </c>
      <c r="B32">
        <v>1</v>
      </c>
      <c r="C32" t="s">
        <v>155</v>
      </c>
      <c r="D32" t="s">
        <v>111</v>
      </c>
      <c r="E32" s="2">
        <v>0.59375</v>
      </c>
      <c r="G32" s="13"/>
      <c r="H32" s="2" t="s">
        <v>136</v>
      </c>
      <c r="I32" t="s">
        <v>6</v>
      </c>
      <c r="J32">
        <v>2</v>
      </c>
      <c r="K32" t="s">
        <v>5</v>
      </c>
      <c r="L32" s="14" t="s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5</v>
      </c>
      <c r="T32">
        <v>3</v>
      </c>
      <c r="U32">
        <v>13</v>
      </c>
      <c r="V32">
        <v>19</v>
      </c>
      <c r="W32">
        <v>17</v>
      </c>
      <c r="X32">
        <v>12</v>
      </c>
      <c r="Y32">
        <v>23</v>
      </c>
      <c r="Z32">
        <v>5</v>
      </c>
      <c r="AA32">
        <v>7</v>
      </c>
      <c r="AB32">
        <v>3</v>
      </c>
      <c r="AC32" s="18">
        <f>SUMPRODUCT(OG_Data!D$1:S$1, M32:AB32) /SUM(M32:AB32)</f>
        <v>11.342592592592593</v>
      </c>
      <c r="AD32">
        <f t="shared" si="0"/>
        <v>108</v>
      </c>
      <c r="AH32">
        <f>Table3[[#This Row],[Flies_per_Vial]]*Table3[[#This Row],[Vials_Total_UsedInMaze]]</f>
        <v>0</v>
      </c>
      <c r="AI32"/>
      <c r="AJ32"/>
      <c r="AK32" s="31">
        <f t="shared" si="3"/>
        <v>14.25</v>
      </c>
      <c r="AL32" s="31"/>
      <c r="AM32" s="31"/>
    </row>
    <row r="33" spans="1:39" x14ac:dyDescent="0.35">
      <c r="A33">
        <v>2</v>
      </c>
      <c r="B33">
        <v>1</v>
      </c>
      <c r="C33" t="s">
        <v>155</v>
      </c>
      <c r="D33" t="s">
        <v>111</v>
      </c>
      <c r="E33" s="2">
        <v>0.59375</v>
      </c>
      <c r="G33" s="13"/>
      <c r="H33" s="2" t="s">
        <v>136</v>
      </c>
      <c r="I33" t="s">
        <v>6</v>
      </c>
      <c r="J33">
        <v>2</v>
      </c>
      <c r="K33" t="s">
        <v>4</v>
      </c>
      <c r="L33" s="14" t="s">
        <v>3</v>
      </c>
      <c r="M33">
        <v>11</v>
      </c>
      <c r="N33">
        <v>0</v>
      </c>
      <c r="O33">
        <v>8</v>
      </c>
      <c r="P33">
        <v>3</v>
      </c>
      <c r="Q33">
        <v>6</v>
      </c>
      <c r="R33">
        <v>4</v>
      </c>
      <c r="S33">
        <v>8</v>
      </c>
      <c r="T33">
        <v>8</v>
      </c>
      <c r="U33">
        <v>6</v>
      </c>
      <c r="V33">
        <v>7</v>
      </c>
      <c r="W33">
        <v>4</v>
      </c>
      <c r="X33">
        <v>4</v>
      </c>
      <c r="Y33">
        <v>2</v>
      </c>
      <c r="Z33">
        <v>4</v>
      </c>
      <c r="AA33">
        <v>0</v>
      </c>
      <c r="AB33">
        <v>0</v>
      </c>
      <c r="AC33" s="18">
        <f>SUMPRODUCT(OG_Data!D$1:S$1, M33:AB33) /SUM(M33:AB33)</f>
        <v>6.92</v>
      </c>
      <c r="AD33">
        <f t="shared" si="0"/>
        <v>75</v>
      </c>
      <c r="AH33">
        <f>Table3[[#This Row],[Flies_per_Vial]]*Table3[[#This Row],[Vials_Total_UsedInMaze]]</f>
        <v>0</v>
      </c>
      <c r="AI33"/>
      <c r="AJ33"/>
      <c r="AK33" s="31">
        <f t="shared" si="3"/>
        <v>14.25</v>
      </c>
      <c r="AL33" s="31"/>
      <c r="AM33" s="31"/>
    </row>
    <row r="34" spans="1:39" x14ac:dyDescent="0.35">
      <c r="A34">
        <v>2</v>
      </c>
      <c r="B34">
        <v>1</v>
      </c>
      <c r="C34" t="s">
        <v>155</v>
      </c>
      <c r="D34" t="s">
        <v>111</v>
      </c>
      <c r="E34" s="2">
        <v>0.59375</v>
      </c>
      <c r="G34" s="13"/>
      <c r="H34" s="2" t="s">
        <v>136</v>
      </c>
      <c r="I34" t="s">
        <v>6</v>
      </c>
      <c r="J34">
        <v>2</v>
      </c>
      <c r="K34" t="s">
        <v>2</v>
      </c>
      <c r="L34" s="14" t="s">
        <v>3</v>
      </c>
      <c r="M34">
        <v>11</v>
      </c>
      <c r="N34">
        <v>14</v>
      </c>
      <c r="O34">
        <v>25</v>
      </c>
      <c r="P34">
        <v>1</v>
      </c>
      <c r="Q34">
        <v>9</v>
      </c>
      <c r="R34">
        <v>16</v>
      </c>
      <c r="S34">
        <v>5</v>
      </c>
      <c r="T34">
        <v>4</v>
      </c>
      <c r="U34">
        <v>2</v>
      </c>
      <c r="V34">
        <v>0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 s="18">
        <f>SUMPRODUCT(OG_Data!D$1:S$1, M34:AB34) /SUM(M34:AB34)</f>
        <v>4.3296703296703294</v>
      </c>
      <c r="AD34">
        <f t="shared" si="0"/>
        <v>91</v>
      </c>
      <c r="AH34">
        <f>Table3[[#This Row],[Flies_per_Vial]]*Table3[[#This Row],[Vials_Total_UsedInMaze]]</f>
        <v>0</v>
      </c>
      <c r="AI34"/>
      <c r="AJ34"/>
      <c r="AK34" s="31">
        <f t="shared" si="3"/>
        <v>14.25</v>
      </c>
      <c r="AL34" s="31"/>
      <c r="AM34" s="31"/>
    </row>
    <row r="35" spans="1:39" x14ac:dyDescent="0.35">
      <c r="A35">
        <v>2</v>
      </c>
      <c r="B35">
        <v>1</v>
      </c>
      <c r="C35" t="s">
        <v>155</v>
      </c>
      <c r="D35" t="s">
        <v>111</v>
      </c>
      <c r="E35" s="2">
        <v>0.59375</v>
      </c>
      <c r="G35" s="13"/>
      <c r="H35" s="2" t="s">
        <v>136</v>
      </c>
      <c r="I35" t="s">
        <v>6</v>
      </c>
      <c r="J35">
        <v>2</v>
      </c>
      <c r="K35" t="s">
        <v>1</v>
      </c>
      <c r="L35" s="14" t="s">
        <v>0</v>
      </c>
      <c r="M35">
        <v>0</v>
      </c>
      <c r="N35">
        <v>3</v>
      </c>
      <c r="O35">
        <v>5</v>
      </c>
      <c r="P35">
        <v>5</v>
      </c>
      <c r="Q35">
        <v>10</v>
      </c>
      <c r="R35">
        <v>7</v>
      </c>
      <c r="S35">
        <v>7</v>
      </c>
      <c r="T35">
        <v>12</v>
      </c>
      <c r="U35">
        <v>9</v>
      </c>
      <c r="V35">
        <v>13</v>
      </c>
      <c r="W35">
        <v>14</v>
      </c>
      <c r="X35">
        <v>5</v>
      </c>
      <c r="Y35">
        <v>2</v>
      </c>
      <c r="Z35">
        <v>0</v>
      </c>
      <c r="AA35">
        <v>0</v>
      </c>
      <c r="AB35">
        <v>0</v>
      </c>
      <c r="AC35" s="18">
        <f>SUMPRODUCT(OG_Data!D$1:S$1, M35:AB35) /SUM(M35:AB35)</f>
        <v>7.9239130434782608</v>
      </c>
      <c r="AD35">
        <f t="shared" si="0"/>
        <v>92</v>
      </c>
      <c r="AH35">
        <f>Table3[[#This Row],[Flies_per_Vial]]*Table3[[#This Row],[Vials_Total_UsedInMaze]]</f>
        <v>0</v>
      </c>
      <c r="AI35"/>
      <c r="AJ35"/>
      <c r="AK35" s="31">
        <f t="shared" si="3"/>
        <v>14.25</v>
      </c>
      <c r="AL35" s="31"/>
      <c r="AM35" s="31"/>
    </row>
    <row r="36" spans="1:39" x14ac:dyDescent="0.35">
      <c r="A36">
        <v>2</v>
      </c>
      <c r="B36">
        <v>2</v>
      </c>
      <c r="C36" t="s">
        <v>154</v>
      </c>
      <c r="D36" t="s">
        <v>112</v>
      </c>
      <c r="E36" s="2">
        <v>0.43055555555555558</v>
      </c>
      <c r="G36" s="13"/>
      <c r="H36" s="2" t="s">
        <v>136</v>
      </c>
      <c r="I36" t="s">
        <v>6</v>
      </c>
      <c r="J36">
        <v>3</v>
      </c>
      <c r="K36" t="s">
        <v>5</v>
      </c>
      <c r="L36" s="14" t="s">
        <v>0</v>
      </c>
      <c r="M36">
        <v>0</v>
      </c>
      <c r="N36">
        <v>1</v>
      </c>
      <c r="O36">
        <v>0</v>
      </c>
      <c r="P36">
        <v>6</v>
      </c>
      <c r="Q36">
        <v>1</v>
      </c>
      <c r="R36">
        <v>1</v>
      </c>
      <c r="S36">
        <v>3</v>
      </c>
      <c r="T36">
        <v>5</v>
      </c>
      <c r="U36">
        <v>10</v>
      </c>
      <c r="V36">
        <v>13</v>
      </c>
      <c r="W36">
        <v>11</v>
      </c>
      <c r="X36">
        <v>6</v>
      </c>
      <c r="Y36">
        <v>2</v>
      </c>
      <c r="Z36">
        <v>6</v>
      </c>
      <c r="AA36">
        <v>21</v>
      </c>
      <c r="AB36">
        <v>15</v>
      </c>
      <c r="AC36" s="18">
        <f>SUMPRODUCT(OG_Data!D$1:S$1, M36:AB36) /SUM(M36:AB36)</f>
        <v>11.643564356435643</v>
      </c>
      <c r="AD36">
        <f t="shared" si="0"/>
        <v>101</v>
      </c>
      <c r="AH36">
        <f>Table3[[#This Row],[Flies_per_Vial]]*Table3[[#This Row],[Vials_Total_UsedInMaze]]</f>
        <v>0</v>
      </c>
      <c r="AI36"/>
      <c r="AJ36"/>
      <c r="AK36" s="31">
        <f t="shared" si="3"/>
        <v>10.333333333333334</v>
      </c>
      <c r="AL36" s="31"/>
      <c r="AM36" s="31"/>
    </row>
    <row r="37" spans="1:39" x14ac:dyDescent="0.35">
      <c r="A37">
        <v>2</v>
      </c>
      <c r="B37">
        <v>2</v>
      </c>
      <c r="C37" t="s">
        <v>154</v>
      </c>
      <c r="D37" s="10" t="s">
        <v>112</v>
      </c>
      <c r="E37" s="2">
        <v>0.43055555555555558</v>
      </c>
      <c r="G37" s="13"/>
      <c r="H37" s="2" t="s">
        <v>136</v>
      </c>
      <c r="I37" t="s">
        <v>6</v>
      </c>
      <c r="J37">
        <v>3</v>
      </c>
      <c r="K37" t="s">
        <v>4</v>
      </c>
      <c r="L37" s="14" t="s">
        <v>3</v>
      </c>
      <c r="M37">
        <v>4</v>
      </c>
      <c r="N37">
        <v>4</v>
      </c>
      <c r="O37">
        <v>2</v>
      </c>
      <c r="P37">
        <v>0</v>
      </c>
      <c r="Q37">
        <v>0</v>
      </c>
      <c r="R37">
        <v>2</v>
      </c>
      <c r="S37">
        <v>8</v>
      </c>
      <c r="T37">
        <v>10</v>
      </c>
      <c r="U37">
        <v>6</v>
      </c>
      <c r="V37">
        <v>8</v>
      </c>
      <c r="W37">
        <v>6</v>
      </c>
      <c r="X37">
        <v>10</v>
      </c>
      <c r="Y37">
        <v>5</v>
      </c>
      <c r="Z37">
        <v>8</v>
      </c>
      <c r="AA37">
        <v>4</v>
      </c>
      <c r="AB37">
        <v>4</v>
      </c>
      <c r="AC37" s="18">
        <f>SUMPRODUCT(OG_Data!D$1:S$1, M37:AB37) /SUM(M37:AB37)</f>
        <v>9.716049382716049</v>
      </c>
      <c r="AD37">
        <f t="shared" si="0"/>
        <v>81</v>
      </c>
      <c r="AH37">
        <f>Table3[[#This Row],[Flies_per_Vial]]*Table3[[#This Row],[Vials_Total_UsedInMaze]]</f>
        <v>0</v>
      </c>
      <c r="AI37"/>
      <c r="AJ37"/>
      <c r="AK37" s="31">
        <f t="shared" si="3"/>
        <v>10.333333333333334</v>
      </c>
      <c r="AL37" s="31"/>
      <c r="AM37" s="31"/>
    </row>
    <row r="38" spans="1:39" x14ac:dyDescent="0.35">
      <c r="A38">
        <v>2</v>
      </c>
      <c r="B38">
        <v>2</v>
      </c>
      <c r="C38" t="s">
        <v>154</v>
      </c>
      <c r="D38" t="s">
        <v>112</v>
      </c>
      <c r="E38" s="2">
        <v>0.43055555555555558</v>
      </c>
      <c r="G38" s="13"/>
      <c r="H38" s="2" t="s">
        <v>136</v>
      </c>
      <c r="I38" t="s">
        <v>6</v>
      </c>
      <c r="J38">
        <v>3</v>
      </c>
      <c r="K38" t="s">
        <v>2</v>
      </c>
      <c r="L38" s="14" t="s">
        <v>3</v>
      </c>
      <c r="M38">
        <v>6</v>
      </c>
      <c r="N38">
        <v>4</v>
      </c>
      <c r="O38">
        <v>0</v>
      </c>
      <c r="P38">
        <v>10</v>
      </c>
      <c r="Q38">
        <v>5</v>
      </c>
      <c r="R38">
        <v>6</v>
      </c>
      <c r="S38">
        <v>6</v>
      </c>
      <c r="T38">
        <v>11</v>
      </c>
      <c r="U38">
        <v>5</v>
      </c>
      <c r="V38">
        <v>4</v>
      </c>
      <c r="W38">
        <v>1</v>
      </c>
      <c r="X38">
        <v>7</v>
      </c>
      <c r="Y38">
        <v>2</v>
      </c>
      <c r="Z38">
        <v>3</v>
      </c>
      <c r="AA38">
        <v>0</v>
      </c>
      <c r="AB38">
        <v>0</v>
      </c>
      <c r="AC38" s="18">
        <f>SUMPRODUCT(OG_Data!D$1:S$1, M38:AB38) /SUM(M38:AB38)</f>
        <v>7.0428571428571427</v>
      </c>
      <c r="AD38">
        <f t="shared" si="0"/>
        <v>70</v>
      </c>
      <c r="AH38">
        <f>Table3[[#This Row],[Flies_per_Vial]]*Table3[[#This Row],[Vials_Total_UsedInMaze]]</f>
        <v>0</v>
      </c>
      <c r="AI38"/>
      <c r="AJ38"/>
      <c r="AK38" s="31">
        <f t="shared" si="3"/>
        <v>10.333333333333334</v>
      </c>
      <c r="AL38" s="31"/>
      <c r="AM38" s="31"/>
    </row>
    <row r="39" spans="1:39" x14ac:dyDescent="0.35">
      <c r="A39">
        <v>2</v>
      </c>
      <c r="B39">
        <v>2</v>
      </c>
      <c r="C39" t="s">
        <v>154</v>
      </c>
      <c r="D39" s="10" t="s">
        <v>112</v>
      </c>
      <c r="E39" s="2">
        <v>0.43055555555555558</v>
      </c>
      <c r="G39" s="13"/>
      <c r="H39" s="2" t="s">
        <v>136</v>
      </c>
      <c r="I39" t="s">
        <v>6</v>
      </c>
      <c r="J39">
        <v>3</v>
      </c>
      <c r="K39" t="s">
        <v>1</v>
      </c>
      <c r="L39" s="14" t="s">
        <v>0</v>
      </c>
      <c r="M39">
        <v>2</v>
      </c>
      <c r="N39">
        <v>4</v>
      </c>
      <c r="O39">
        <v>4</v>
      </c>
      <c r="P39">
        <v>2</v>
      </c>
      <c r="Q39">
        <v>11</v>
      </c>
      <c r="R39">
        <v>1</v>
      </c>
      <c r="S39">
        <v>0</v>
      </c>
      <c r="T39">
        <v>11</v>
      </c>
      <c r="U39">
        <v>6</v>
      </c>
      <c r="V39">
        <v>5</v>
      </c>
      <c r="W39">
        <v>4</v>
      </c>
      <c r="X39">
        <v>8</v>
      </c>
      <c r="Y39">
        <v>0</v>
      </c>
      <c r="Z39">
        <v>0</v>
      </c>
      <c r="AA39">
        <v>0</v>
      </c>
      <c r="AB39">
        <v>0</v>
      </c>
      <c r="AC39" s="18">
        <f>SUMPRODUCT(OG_Data!D$1:S$1, M39:AB39) /SUM(M39:AB39)</f>
        <v>7.2931034482758621</v>
      </c>
      <c r="AD39">
        <f t="shared" si="0"/>
        <v>58</v>
      </c>
      <c r="AH39">
        <f>Table3[[#This Row],[Flies_per_Vial]]*Table3[[#This Row],[Vials_Total_UsedInMaze]]</f>
        <v>0</v>
      </c>
      <c r="AI39"/>
      <c r="AJ39"/>
      <c r="AK39" s="31">
        <f t="shared" si="3"/>
        <v>10.333333333333334</v>
      </c>
      <c r="AL39" s="31"/>
      <c r="AM39" s="31"/>
    </row>
    <row r="40" spans="1:39" x14ac:dyDescent="0.35">
      <c r="A40">
        <v>2</v>
      </c>
      <c r="B40">
        <v>2</v>
      </c>
      <c r="C40" t="s">
        <v>155</v>
      </c>
      <c r="D40" t="s">
        <v>112</v>
      </c>
      <c r="E40" s="2">
        <v>0.5444444444444444</v>
      </c>
      <c r="G40" s="13"/>
      <c r="H40" s="2" t="s">
        <v>136</v>
      </c>
      <c r="I40" t="s">
        <v>6</v>
      </c>
      <c r="J40">
        <v>4</v>
      </c>
      <c r="K40" t="s">
        <v>5</v>
      </c>
      <c r="L40" s="14" t="s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3</v>
      </c>
      <c r="S40">
        <v>3</v>
      </c>
      <c r="T40">
        <v>7</v>
      </c>
      <c r="U40">
        <v>14</v>
      </c>
      <c r="V40">
        <v>17</v>
      </c>
      <c r="W40">
        <v>21</v>
      </c>
      <c r="X40">
        <v>6</v>
      </c>
      <c r="Y40">
        <v>22</v>
      </c>
      <c r="Z40">
        <v>5</v>
      </c>
      <c r="AA40">
        <v>10</v>
      </c>
      <c r="AB40">
        <v>0</v>
      </c>
      <c r="AC40" s="18">
        <f>SUMPRODUCT(OG_Data!D$1:S$1, M40:AB40) /SUM(M40:AB40)</f>
        <v>10.981818181818182</v>
      </c>
      <c r="AD40">
        <f t="shared" si="0"/>
        <v>110</v>
      </c>
      <c r="AH40">
        <f>Table3[[#This Row],[Flies_per_Vial]]*Table3[[#This Row],[Vials_Total_UsedInMaze]]</f>
        <v>0</v>
      </c>
      <c r="AI40"/>
      <c r="AJ40"/>
      <c r="AK40" s="31">
        <f t="shared" si="3"/>
        <v>13.066666666666666</v>
      </c>
      <c r="AL40" s="31"/>
      <c r="AM40" s="31"/>
    </row>
    <row r="41" spans="1:39" x14ac:dyDescent="0.35">
      <c r="A41">
        <v>2</v>
      </c>
      <c r="B41">
        <v>2</v>
      </c>
      <c r="C41" t="s">
        <v>155</v>
      </c>
      <c r="D41" s="10" t="s">
        <v>112</v>
      </c>
      <c r="E41" s="2">
        <v>0.5444444444444444</v>
      </c>
      <c r="G41" s="13"/>
      <c r="H41" s="2" t="s">
        <v>136</v>
      </c>
      <c r="I41" t="s">
        <v>6</v>
      </c>
      <c r="J41">
        <v>4</v>
      </c>
      <c r="K41" t="s">
        <v>4</v>
      </c>
      <c r="L41" s="14" t="s">
        <v>3</v>
      </c>
      <c r="M41">
        <v>29</v>
      </c>
      <c r="N41">
        <v>11</v>
      </c>
      <c r="O41">
        <v>4</v>
      </c>
      <c r="P41">
        <v>3</v>
      </c>
      <c r="Q41">
        <v>7</v>
      </c>
      <c r="R41">
        <v>8</v>
      </c>
      <c r="S41">
        <v>4</v>
      </c>
      <c r="T41">
        <v>7</v>
      </c>
      <c r="U41">
        <v>6</v>
      </c>
      <c r="V41">
        <v>1</v>
      </c>
      <c r="W41">
        <v>2</v>
      </c>
      <c r="X41">
        <v>5</v>
      </c>
      <c r="Y41">
        <v>1</v>
      </c>
      <c r="Z41">
        <v>2</v>
      </c>
      <c r="AA41">
        <v>0</v>
      </c>
      <c r="AB41">
        <v>0</v>
      </c>
      <c r="AC41" s="18">
        <f>SUMPRODUCT(OG_Data!D$1:S$1, M41:AB41) /SUM(M41:AB41)</f>
        <v>4.7666666666666666</v>
      </c>
      <c r="AD41">
        <f t="shared" si="0"/>
        <v>90</v>
      </c>
      <c r="AH41">
        <f>Table3[[#This Row],[Flies_per_Vial]]*Table3[[#This Row],[Vials_Total_UsedInMaze]]</f>
        <v>0</v>
      </c>
      <c r="AI41"/>
      <c r="AJ41"/>
      <c r="AK41" s="31">
        <f t="shared" si="3"/>
        <v>13.066666666666666</v>
      </c>
      <c r="AL41" s="31"/>
      <c r="AM41" s="31"/>
    </row>
    <row r="42" spans="1:39" x14ac:dyDescent="0.35">
      <c r="A42">
        <v>2</v>
      </c>
      <c r="B42">
        <v>2</v>
      </c>
      <c r="C42" t="s">
        <v>155</v>
      </c>
      <c r="D42" t="s">
        <v>112</v>
      </c>
      <c r="E42" s="2">
        <v>0.5444444444444444</v>
      </c>
      <c r="G42" s="13"/>
      <c r="H42" s="2" t="s">
        <v>136</v>
      </c>
      <c r="I42" t="s">
        <v>6</v>
      </c>
      <c r="J42">
        <v>4</v>
      </c>
      <c r="K42" t="s">
        <v>2</v>
      </c>
      <c r="L42" s="14" t="s">
        <v>3</v>
      </c>
      <c r="M42">
        <v>18</v>
      </c>
      <c r="N42">
        <v>14</v>
      </c>
      <c r="O42">
        <v>18</v>
      </c>
      <c r="P42">
        <v>3</v>
      </c>
      <c r="Q42">
        <v>14</v>
      </c>
      <c r="R42">
        <v>14</v>
      </c>
      <c r="S42">
        <v>6</v>
      </c>
      <c r="T42">
        <v>8</v>
      </c>
      <c r="U42">
        <v>10</v>
      </c>
      <c r="V42">
        <v>0</v>
      </c>
      <c r="W42">
        <v>0</v>
      </c>
      <c r="X42">
        <v>2</v>
      </c>
      <c r="Y42">
        <v>0</v>
      </c>
      <c r="Z42">
        <v>2</v>
      </c>
      <c r="AA42">
        <v>0</v>
      </c>
      <c r="AB42">
        <v>0</v>
      </c>
      <c r="AC42" s="18">
        <f>SUMPRODUCT(OG_Data!D$1:S$1, M42:AB42) /SUM(M42:AB42)</f>
        <v>4.7155963302752291</v>
      </c>
      <c r="AD42">
        <f t="shared" si="0"/>
        <v>109</v>
      </c>
      <c r="AH42">
        <f>Table3[[#This Row],[Flies_per_Vial]]*Table3[[#This Row],[Vials_Total_UsedInMaze]]</f>
        <v>0</v>
      </c>
      <c r="AI42"/>
      <c r="AJ42"/>
      <c r="AK42" s="31">
        <f t="shared" si="3"/>
        <v>13.066666666666666</v>
      </c>
      <c r="AL42" s="31"/>
      <c r="AM42" s="31"/>
    </row>
    <row r="43" spans="1:39" x14ac:dyDescent="0.35">
      <c r="A43">
        <v>2</v>
      </c>
      <c r="B43">
        <v>2</v>
      </c>
      <c r="C43" t="s">
        <v>155</v>
      </c>
      <c r="D43" s="10" t="s">
        <v>112</v>
      </c>
      <c r="E43" s="2">
        <v>0.5444444444444444</v>
      </c>
      <c r="G43" s="13"/>
      <c r="H43" s="2" t="s">
        <v>136</v>
      </c>
      <c r="I43" t="s">
        <v>6</v>
      </c>
      <c r="J43">
        <v>4</v>
      </c>
      <c r="K43" t="s">
        <v>1</v>
      </c>
      <c r="L43" s="14" t="s">
        <v>0</v>
      </c>
      <c r="M43">
        <v>1</v>
      </c>
      <c r="N43">
        <v>10</v>
      </c>
      <c r="O43">
        <v>7</v>
      </c>
      <c r="P43">
        <v>6</v>
      </c>
      <c r="Q43">
        <v>2</v>
      </c>
      <c r="R43">
        <v>2</v>
      </c>
      <c r="S43">
        <v>0</v>
      </c>
      <c r="T43">
        <v>12</v>
      </c>
      <c r="U43">
        <v>8</v>
      </c>
      <c r="V43">
        <v>3</v>
      </c>
      <c r="W43">
        <v>1</v>
      </c>
      <c r="X43">
        <v>1</v>
      </c>
      <c r="Y43">
        <v>0</v>
      </c>
      <c r="Z43">
        <v>1</v>
      </c>
      <c r="AA43">
        <v>0</v>
      </c>
      <c r="AB43">
        <v>0</v>
      </c>
      <c r="AC43" s="18">
        <f>SUMPRODUCT(OG_Data!D$1:S$1, M43:AB43) /SUM(M43:AB43)</f>
        <v>5.9814814814814818</v>
      </c>
      <c r="AD43">
        <f t="shared" si="0"/>
        <v>54</v>
      </c>
      <c r="AH43">
        <f>Table3[[#This Row],[Flies_per_Vial]]*Table3[[#This Row],[Vials_Total_UsedInMaze]]</f>
        <v>0</v>
      </c>
      <c r="AI43"/>
      <c r="AJ43"/>
      <c r="AK43" s="31">
        <f t="shared" si="3"/>
        <v>13.066666666666666</v>
      </c>
      <c r="AL43" s="31"/>
      <c r="AM43" s="31"/>
    </row>
    <row r="44" spans="1:39" s="19" customFormat="1" x14ac:dyDescent="0.35">
      <c r="A44" s="19">
        <v>3</v>
      </c>
      <c r="B44" s="19">
        <v>1</v>
      </c>
      <c r="C44" s="19" t="s">
        <v>154</v>
      </c>
      <c r="D44" s="19" t="s">
        <v>113</v>
      </c>
      <c r="E44" s="20">
        <v>0.37847222222222221</v>
      </c>
      <c r="G44" s="21"/>
      <c r="H44" s="5" t="s">
        <v>136</v>
      </c>
      <c r="I44" s="19" t="s">
        <v>6</v>
      </c>
      <c r="J44" s="19">
        <v>2</v>
      </c>
      <c r="K44" s="19" t="s">
        <v>5</v>
      </c>
      <c r="L44" s="22" t="s">
        <v>3</v>
      </c>
      <c r="M44" s="19">
        <v>0</v>
      </c>
      <c r="N44" s="19">
        <v>0</v>
      </c>
      <c r="O44" s="19">
        <v>0</v>
      </c>
      <c r="P44" s="19">
        <v>0</v>
      </c>
      <c r="Q44" s="19">
        <v>3</v>
      </c>
      <c r="R44" s="19">
        <v>1</v>
      </c>
      <c r="S44" s="19">
        <v>1</v>
      </c>
      <c r="T44" s="19">
        <v>5</v>
      </c>
      <c r="U44" s="19">
        <v>5</v>
      </c>
      <c r="V44" s="19">
        <v>7</v>
      </c>
      <c r="W44" s="19">
        <v>5</v>
      </c>
      <c r="X44" s="19">
        <v>3</v>
      </c>
      <c r="Y44" s="19">
        <v>4</v>
      </c>
      <c r="Z44" s="19">
        <v>6</v>
      </c>
      <c r="AA44" s="19">
        <v>16</v>
      </c>
      <c r="AB44" s="19">
        <v>14</v>
      </c>
      <c r="AC44" s="23">
        <f>SUMPRODUCT(OG_Data!D$1:S$1, M44:AB44) /SUM(M44:AB44)</f>
        <v>12.485714285714286</v>
      </c>
      <c r="AD44" s="19">
        <f t="shared" si="0"/>
        <v>70</v>
      </c>
      <c r="AE44" s="19">
        <v>0</v>
      </c>
      <c r="AF44" s="19">
        <v>6</v>
      </c>
      <c r="AH44" s="19">
        <f>Table3[[#This Row],[Flies_per_Vial]]*Table3[[#This Row],[Vials_Total_UsedInMaze]]</f>
        <v>0</v>
      </c>
      <c r="AK44" s="29">
        <f t="shared" si="3"/>
        <v>9.0833333333333321</v>
      </c>
      <c r="AL44" s="32"/>
      <c r="AM44" s="32"/>
    </row>
    <row r="45" spans="1:39" s="19" customFormat="1" x14ac:dyDescent="0.35">
      <c r="A45" s="19">
        <v>3</v>
      </c>
      <c r="B45" s="19">
        <v>1</v>
      </c>
      <c r="C45" s="19" t="s">
        <v>154</v>
      </c>
      <c r="D45" s="19" t="s">
        <v>113</v>
      </c>
      <c r="E45" s="20">
        <v>0.37847222222222221</v>
      </c>
      <c r="G45" s="21"/>
      <c r="H45" s="5" t="s">
        <v>136</v>
      </c>
      <c r="I45" s="19" t="s">
        <v>6</v>
      </c>
      <c r="J45" s="19">
        <v>2</v>
      </c>
      <c r="K45" s="19" t="s">
        <v>4</v>
      </c>
      <c r="L45" s="22" t="s">
        <v>0</v>
      </c>
      <c r="M45" s="19">
        <v>7</v>
      </c>
      <c r="N45" s="19">
        <v>3</v>
      </c>
      <c r="O45" s="19">
        <v>1</v>
      </c>
      <c r="P45" s="19">
        <v>1</v>
      </c>
      <c r="Q45" s="19">
        <v>1</v>
      </c>
      <c r="R45" s="19">
        <v>5</v>
      </c>
      <c r="S45" s="19">
        <v>10</v>
      </c>
      <c r="T45" s="19">
        <v>7</v>
      </c>
      <c r="U45" s="19">
        <v>7</v>
      </c>
      <c r="V45" s="19">
        <v>6</v>
      </c>
      <c r="W45" s="19">
        <v>8</v>
      </c>
      <c r="X45" s="19">
        <v>11</v>
      </c>
      <c r="Y45" s="19">
        <v>7</v>
      </c>
      <c r="Z45" s="19">
        <v>8</v>
      </c>
      <c r="AA45" s="19">
        <v>8</v>
      </c>
      <c r="AB45" s="19">
        <v>5</v>
      </c>
      <c r="AC45" s="23">
        <f>SUMPRODUCT(OG_Data!D$1:S$1, M45:AB45) /SUM(M45:AB45)</f>
        <v>9.7578947368421058</v>
      </c>
      <c r="AD45" s="19">
        <f t="shared" si="0"/>
        <v>95</v>
      </c>
      <c r="AE45" s="19">
        <v>0</v>
      </c>
      <c r="AF45" s="19">
        <v>6</v>
      </c>
      <c r="AH45" s="19">
        <f>Table3[[#This Row],[Flies_per_Vial]]*Table3[[#This Row],[Vials_Total_UsedInMaze]]</f>
        <v>0</v>
      </c>
      <c r="AK45" s="29">
        <f t="shared" si="3"/>
        <v>9.0833333333333321</v>
      </c>
      <c r="AL45" s="32"/>
      <c r="AM45" s="32"/>
    </row>
    <row r="46" spans="1:39" s="19" customFormat="1" x14ac:dyDescent="0.35">
      <c r="A46" s="19">
        <v>3</v>
      </c>
      <c r="B46" s="19">
        <v>1</v>
      </c>
      <c r="C46" s="19" t="s">
        <v>154</v>
      </c>
      <c r="D46" s="19" t="s">
        <v>113</v>
      </c>
      <c r="E46" s="20">
        <v>0.37847222222222221</v>
      </c>
      <c r="G46" s="21"/>
      <c r="H46" s="5" t="s">
        <v>136</v>
      </c>
      <c r="I46" s="19" t="s">
        <v>6</v>
      </c>
      <c r="J46" s="19">
        <v>2</v>
      </c>
      <c r="K46" s="19" t="s">
        <v>2</v>
      </c>
      <c r="L46" s="22" t="s">
        <v>0</v>
      </c>
      <c r="M46" s="19">
        <v>0</v>
      </c>
      <c r="N46" s="19">
        <v>5</v>
      </c>
      <c r="O46" s="19">
        <v>5</v>
      </c>
      <c r="P46" s="19">
        <v>3</v>
      </c>
      <c r="Q46" s="19">
        <v>4</v>
      </c>
      <c r="R46" s="19">
        <v>7</v>
      </c>
      <c r="S46" s="19">
        <v>6</v>
      </c>
      <c r="T46" s="19">
        <v>9</v>
      </c>
      <c r="U46" s="19">
        <v>14</v>
      </c>
      <c r="V46" s="19">
        <v>7</v>
      </c>
      <c r="W46" s="19">
        <v>5</v>
      </c>
      <c r="X46" s="19">
        <v>5</v>
      </c>
      <c r="Y46" s="19">
        <v>1</v>
      </c>
      <c r="Z46" s="19">
        <v>1</v>
      </c>
      <c r="AA46" s="19">
        <v>4</v>
      </c>
      <c r="AB46" s="19">
        <v>4</v>
      </c>
      <c r="AC46" s="23">
        <f>SUMPRODUCT(OG_Data!D$1:S$1, M46:AB46) /SUM(M46:AB46)</f>
        <v>8.4375</v>
      </c>
      <c r="AD46" s="19">
        <f t="shared" si="0"/>
        <v>80</v>
      </c>
      <c r="AE46" s="19">
        <v>0</v>
      </c>
      <c r="AF46" s="19">
        <v>6</v>
      </c>
      <c r="AH46" s="19">
        <f>Table3[[#This Row],[Flies_per_Vial]]*Table3[[#This Row],[Vials_Total_UsedInMaze]]</f>
        <v>0</v>
      </c>
      <c r="AK46" s="29">
        <f t="shared" si="3"/>
        <v>9.0833333333333321</v>
      </c>
      <c r="AL46" s="32"/>
      <c r="AM46" s="32"/>
    </row>
    <row r="47" spans="1:39" s="19" customFormat="1" x14ac:dyDescent="0.35">
      <c r="A47" s="19">
        <v>3</v>
      </c>
      <c r="B47" s="19">
        <v>1</v>
      </c>
      <c r="C47" s="19" t="s">
        <v>154</v>
      </c>
      <c r="D47" s="19" t="s">
        <v>113</v>
      </c>
      <c r="E47" s="20">
        <v>0.37847222222222221</v>
      </c>
      <c r="G47" s="21"/>
      <c r="H47" s="5" t="s">
        <v>136</v>
      </c>
      <c r="I47" s="19" t="s">
        <v>6</v>
      </c>
      <c r="J47" s="19">
        <v>2</v>
      </c>
      <c r="K47" s="19" t="s">
        <v>1</v>
      </c>
      <c r="L47" s="22" t="s">
        <v>3</v>
      </c>
      <c r="M47" s="19">
        <v>0</v>
      </c>
      <c r="N47" s="19">
        <v>5</v>
      </c>
      <c r="O47" s="19">
        <v>0</v>
      </c>
      <c r="P47" s="19">
        <v>4</v>
      </c>
      <c r="Q47" s="19">
        <v>4</v>
      </c>
      <c r="R47" s="19">
        <v>2</v>
      </c>
      <c r="S47" s="19">
        <v>1</v>
      </c>
      <c r="T47" s="19">
        <v>7</v>
      </c>
      <c r="U47" s="19">
        <v>5</v>
      </c>
      <c r="V47" s="19">
        <v>3</v>
      </c>
      <c r="W47" s="19">
        <v>6</v>
      </c>
      <c r="X47" s="19">
        <v>4</v>
      </c>
      <c r="Y47" s="19">
        <v>1</v>
      </c>
      <c r="Z47" s="19">
        <v>2</v>
      </c>
      <c r="AA47" s="19">
        <v>3</v>
      </c>
      <c r="AB47" s="19">
        <v>3</v>
      </c>
      <c r="AC47" s="23">
        <f>SUMPRODUCT(OG_Data!D$1:S$1, M47:AB47) /SUM(M47:AB47)</f>
        <v>8.8800000000000008</v>
      </c>
      <c r="AD47" s="19">
        <f t="shared" si="0"/>
        <v>50</v>
      </c>
      <c r="AE47" s="19">
        <v>0</v>
      </c>
      <c r="AF47" s="19">
        <v>6</v>
      </c>
      <c r="AH47" s="19">
        <f>Table3[[#This Row],[Flies_per_Vial]]*Table3[[#This Row],[Vials_Total_UsedInMaze]]</f>
        <v>0</v>
      </c>
      <c r="AK47" s="29">
        <f t="shared" si="3"/>
        <v>9.0833333333333321</v>
      </c>
      <c r="AL47" s="32"/>
      <c r="AM47" s="32"/>
    </row>
    <row r="48" spans="1:39" s="19" customFormat="1" x14ac:dyDescent="0.35">
      <c r="A48" s="19">
        <v>3</v>
      </c>
      <c r="B48" s="19">
        <v>1</v>
      </c>
      <c r="C48" s="19" t="s">
        <v>155</v>
      </c>
      <c r="D48" s="19" t="s">
        <v>113</v>
      </c>
      <c r="E48" s="20">
        <v>0.4861111111111111</v>
      </c>
      <c r="G48" s="21"/>
      <c r="H48" s="5" t="s">
        <v>136</v>
      </c>
      <c r="I48" s="19" t="s">
        <v>6</v>
      </c>
      <c r="J48" s="19">
        <v>1</v>
      </c>
      <c r="K48" s="19" t="s">
        <v>5</v>
      </c>
      <c r="L48" s="22" t="s">
        <v>3</v>
      </c>
      <c r="M48" s="19">
        <v>0</v>
      </c>
      <c r="N48" s="19">
        <v>0</v>
      </c>
      <c r="O48" s="19">
        <v>0</v>
      </c>
      <c r="P48" s="19">
        <v>0</v>
      </c>
      <c r="Q48" s="19">
        <v>1</v>
      </c>
      <c r="R48" s="19">
        <v>0</v>
      </c>
      <c r="S48" s="19">
        <v>2</v>
      </c>
      <c r="T48" s="19">
        <v>2</v>
      </c>
      <c r="U48" s="19">
        <v>5</v>
      </c>
      <c r="V48" s="19">
        <v>5</v>
      </c>
      <c r="W48" s="19">
        <v>23</v>
      </c>
      <c r="X48" s="19">
        <v>17</v>
      </c>
      <c r="Y48" s="19">
        <v>28</v>
      </c>
      <c r="Z48" s="19">
        <v>9</v>
      </c>
      <c r="AA48" s="19">
        <v>6</v>
      </c>
      <c r="AB48" s="19">
        <v>0</v>
      </c>
      <c r="AC48" s="23">
        <f>SUMPRODUCT(OG_Data!D$1:S$1, M48:AB48) /SUM(M48:AB48)</f>
        <v>11.908163265306122</v>
      </c>
      <c r="AD48" s="19">
        <f t="shared" si="0"/>
        <v>98</v>
      </c>
      <c r="AE48" s="19">
        <v>0</v>
      </c>
      <c r="AF48" s="19">
        <v>6</v>
      </c>
      <c r="AH48" s="19">
        <f>Table3[[#This Row],[Flies_per_Vial]]*Table3[[#This Row],[Vials_Total_UsedInMaze]]</f>
        <v>0</v>
      </c>
      <c r="AK48" s="29">
        <f t="shared" si="3"/>
        <v>11.666666666666666</v>
      </c>
      <c r="AL48" s="32"/>
      <c r="AM48" s="32"/>
    </row>
    <row r="49" spans="1:39" s="19" customFormat="1" x14ac:dyDescent="0.35">
      <c r="A49" s="19">
        <v>3</v>
      </c>
      <c r="B49" s="19">
        <v>1</v>
      </c>
      <c r="C49" s="19" t="s">
        <v>155</v>
      </c>
      <c r="D49" s="19" t="s">
        <v>113</v>
      </c>
      <c r="E49" s="20">
        <v>0.4861111111111111</v>
      </c>
      <c r="G49" s="21"/>
      <c r="H49" s="5" t="s">
        <v>136</v>
      </c>
      <c r="I49" s="19" t="s">
        <v>6</v>
      </c>
      <c r="J49" s="19">
        <v>1</v>
      </c>
      <c r="K49" s="19" t="s">
        <v>4</v>
      </c>
      <c r="L49" s="22" t="s">
        <v>0</v>
      </c>
      <c r="M49" s="19">
        <v>2</v>
      </c>
      <c r="N49" s="19">
        <v>1</v>
      </c>
      <c r="O49" s="19">
        <v>2</v>
      </c>
      <c r="P49" s="19">
        <v>6</v>
      </c>
      <c r="Q49" s="19">
        <v>10</v>
      </c>
      <c r="R49" s="19">
        <v>10</v>
      </c>
      <c r="S49" s="19">
        <v>12</v>
      </c>
      <c r="T49" s="19">
        <v>12</v>
      </c>
      <c r="U49" s="19">
        <v>7</v>
      </c>
      <c r="V49" s="19">
        <v>7</v>
      </c>
      <c r="W49" s="19">
        <v>3</v>
      </c>
      <c r="X49" s="19">
        <v>2</v>
      </c>
      <c r="Y49" s="19">
        <v>4</v>
      </c>
      <c r="Z49" s="19">
        <v>4</v>
      </c>
      <c r="AA49" s="19">
        <v>3</v>
      </c>
      <c r="AB49" s="19">
        <v>1</v>
      </c>
      <c r="AC49" s="23">
        <f>SUMPRODUCT(OG_Data!D$1:S$1, M49:AB49) /SUM(M49:AB49)</f>
        <v>7.941860465116279</v>
      </c>
      <c r="AD49" s="19">
        <f t="shared" si="0"/>
        <v>86</v>
      </c>
      <c r="AE49" s="19">
        <v>0</v>
      </c>
      <c r="AF49" s="19">
        <v>6</v>
      </c>
      <c r="AH49" s="19">
        <f>Table3[[#This Row],[Flies_per_Vial]]*Table3[[#This Row],[Vials_Total_UsedInMaze]]</f>
        <v>0</v>
      </c>
      <c r="AK49" s="29">
        <f t="shared" si="3"/>
        <v>11.666666666666666</v>
      </c>
      <c r="AL49" s="32"/>
      <c r="AM49" s="32"/>
    </row>
    <row r="50" spans="1:39" s="19" customFormat="1" x14ac:dyDescent="0.35">
      <c r="A50" s="19">
        <v>3</v>
      </c>
      <c r="B50" s="19">
        <v>1</v>
      </c>
      <c r="C50" s="19" t="s">
        <v>155</v>
      </c>
      <c r="D50" s="19" t="s">
        <v>113</v>
      </c>
      <c r="E50" s="20">
        <v>0.4861111111111111</v>
      </c>
      <c r="G50" s="21"/>
      <c r="H50" s="5" t="s">
        <v>136</v>
      </c>
      <c r="I50" s="19" t="s">
        <v>6</v>
      </c>
      <c r="J50" s="19">
        <v>1</v>
      </c>
      <c r="K50" s="19" t="s">
        <v>2</v>
      </c>
      <c r="L50" s="22" t="s">
        <v>0</v>
      </c>
      <c r="M50" s="19">
        <v>18</v>
      </c>
      <c r="N50" s="19">
        <v>40</v>
      </c>
      <c r="O50" s="19">
        <v>17</v>
      </c>
      <c r="P50" s="19">
        <v>7</v>
      </c>
      <c r="Q50" s="19">
        <v>12</v>
      </c>
      <c r="R50" s="19">
        <v>8</v>
      </c>
      <c r="S50" s="19">
        <v>3</v>
      </c>
      <c r="T50" s="19">
        <v>2</v>
      </c>
      <c r="U50" s="19">
        <v>1</v>
      </c>
      <c r="V50" s="19">
        <v>0</v>
      </c>
      <c r="W50" s="19">
        <v>3</v>
      </c>
      <c r="X50" s="19">
        <v>1</v>
      </c>
      <c r="Y50" s="19">
        <v>1</v>
      </c>
      <c r="Z50" s="19">
        <v>0</v>
      </c>
      <c r="AA50" s="19">
        <v>0</v>
      </c>
      <c r="AB50" s="19">
        <v>1</v>
      </c>
      <c r="AC50" s="23">
        <f>SUMPRODUCT(OG_Data!D$1:S$1, M50:AB50) /SUM(M50:AB50)</f>
        <v>3.5526315789473686</v>
      </c>
      <c r="AD50" s="19">
        <f t="shared" si="0"/>
        <v>114</v>
      </c>
      <c r="AE50" s="19">
        <v>0</v>
      </c>
      <c r="AF50" s="19">
        <v>6</v>
      </c>
      <c r="AH50" s="19">
        <f>Table3[[#This Row],[Flies_per_Vial]]*Table3[[#This Row],[Vials_Total_UsedInMaze]]</f>
        <v>0</v>
      </c>
      <c r="AK50" s="29">
        <f t="shared" si="3"/>
        <v>11.666666666666666</v>
      </c>
      <c r="AL50" s="32"/>
      <c r="AM50" s="32"/>
    </row>
    <row r="51" spans="1:39" s="19" customFormat="1" x14ac:dyDescent="0.35">
      <c r="A51" s="19">
        <v>3</v>
      </c>
      <c r="B51" s="19">
        <v>1</v>
      </c>
      <c r="C51" s="19" t="s">
        <v>155</v>
      </c>
      <c r="D51" s="19" t="s">
        <v>113</v>
      </c>
      <c r="E51" s="20">
        <v>0.4861111111111111</v>
      </c>
      <c r="G51" s="21"/>
      <c r="H51" s="5" t="s">
        <v>136</v>
      </c>
      <c r="I51" s="19" t="s">
        <v>6</v>
      </c>
      <c r="J51" s="19">
        <v>1</v>
      </c>
      <c r="K51" s="19" t="s">
        <v>1</v>
      </c>
      <c r="L51" s="22" t="s">
        <v>3</v>
      </c>
      <c r="M51" s="19">
        <v>1</v>
      </c>
      <c r="N51" s="19">
        <v>8</v>
      </c>
      <c r="O51" s="19">
        <v>3</v>
      </c>
      <c r="P51" s="19">
        <v>3</v>
      </c>
      <c r="Q51" s="19">
        <v>6</v>
      </c>
      <c r="R51" s="19">
        <v>10</v>
      </c>
      <c r="S51" s="19">
        <v>4</v>
      </c>
      <c r="T51" s="19">
        <v>7</v>
      </c>
      <c r="U51" s="19">
        <v>15</v>
      </c>
      <c r="V51" s="19">
        <v>7</v>
      </c>
      <c r="W51" s="19">
        <v>14</v>
      </c>
      <c r="X51" s="19">
        <v>7</v>
      </c>
      <c r="Y51" s="19">
        <v>3</v>
      </c>
      <c r="Z51" s="19">
        <v>4</v>
      </c>
      <c r="AA51" s="19">
        <v>0</v>
      </c>
      <c r="AB51" s="19">
        <v>1</v>
      </c>
      <c r="AC51" s="23">
        <f>SUMPRODUCT(OG_Data!D$1:S$1, M51:AB51) /SUM(M51:AB51)</f>
        <v>8.236559139784946</v>
      </c>
      <c r="AD51" s="19">
        <f t="shared" si="0"/>
        <v>93</v>
      </c>
      <c r="AE51" s="19">
        <v>0</v>
      </c>
      <c r="AF51" s="19">
        <v>6</v>
      </c>
      <c r="AH51" s="19">
        <f>Table3[[#This Row],[Flies_per_Vial]]*Table3[[#This Row],[Vials_Total_UsedInMaze]]</f>
        <v>0</v>
      </c>
      <c r="AK51" s="29">
        <f t="shared" si="3"/>
        <v>11.666666666666666</v>
      </c>
      <c r="AL51" s="32"/>
      <c r="AM51" s="32"/>
    </row>
    <row r="52" spans="1:39" s="19" customFormat="1" x14ac:dyDescent="0.35">
      <c r="A52" s="19">
        <v>3</v>
      </c>
      <c r="B52" s="19">
        <v>2</v>
      </c>
      <c r="C52" s="19" t="s">
        <v>154</v>
      </c>
      <c r="D52" s="19" t="s">
        <v>109</v>
      </c>
      <c r="E52" s="20">
        <v>0.375</v>
      </c>
      <c r="G52" s="21"/>
      <c r="H52" s="5" t="s">
        <v>136</v>
      </c>
      <c r="I52" s="19" t="s">
        <v>6</v>
      </c>
      <c r="J52" s="19">
        <v>4</v>
      </c>
      <c r="K52" s="19" t="s">
        <v>5</v>
      </c>
      <c r="L52" s="22" t="s">
        <v>3</v>
      </c>
      <c r="M52" s="19">
        <v>0</v>
      </c>
      <c r="N52" s="19">
        <v>0</v>
      </c>
      <c r="O52" s="19">
        <v>0</v>
      </c>
      <c r="P52" s="19">
        <v>1</v>
      </c>
      <c r="Q52" s="19">
        <v>1</v>
      </c>
      <c r="R52" s="19">
        <v>0</v>
      </c>
      <c r="S52" s="19">
        <v>2</v>
      </c>
      <c r="T52" s="19">
        <v>2</v>
      </c>
      <c r="U52" s="19">
        <v>5</v>
      </c>
      <c r="V52" s="19">
        <v>2</v>
      </c>
      <c r="W52" s="19">
        <v>4</v>
      </c>
      <c r="X52" s="19">
        <v>4</v>
      </c>
      <c r="Y52" s="19">
        <v>6</v>
      </c>
      <c r="Z52" s="19">
        <v>3</v>
      </c>
      <c r="AA52" s="19">
        <v>17</v>
      </c>
      <c r="AB52" s="19">
        <v>13</v>
      </c>
      <c r="AC52" s="23">
        <f>SUMPRODUCT(OG_Data!D$1:S$1, M52:AB52) /SUM(M52:AB52)</f>
        <v>12.983333333333333</v>
      </c>
      <c r="AD52" s="19">
        <f t="shared" si="0"/>
        <v>60</v>
      </c>
      <c r="AE52" s="19">
        <v>0</v>
      </c>
      <c r="AF52" s="19">
        <v>6</v>
      </c>
      <c r="AH52" s="19">
        <f>Table3[[#This Row],[Flies_per_Vial]]*Table3[[#This Row],[Vials_Total_UsedInMaze]]</f>
        <v>0</v>
      </c>
      <c r="AK52" s="29">
        <f t="shared" si="3"/>
        <v>9</v>
      </c>
      <c r="AL52" s="32"/>
      <c r="AM52" s="32"/>
    </row>
    <row r="53" spans="1:39" s="19" customFormat="1" x14ac:dyDescent="0.35">
      <c r="A53" s="19">
        <v>3</v>
      </c>
      <c r="B53" s="19">
        <v>2</v>
      </c>
      <c r="C53" s="19" t="s">
        <v>154</v>
      </c>
      <c r="D53" s="19" t="s">
        <v>109</v>
      </c>
      <c r="E53" s="20">
        <v>0.375</v>
      </c>
      <c r="G53" s="21"/>
      <c r="H53" s="5" t="s">
        <v>136</v>
      </c>
      <c r="I53" s="19" t="s">
        <v>6</v>
      </c>
      <c r="J53" s="19">
        <v>4</v>
      </c>
      <c r="K53" s="19" t="s">
        <v>4</v>
      </c>
      <c r="L53" s="22" t="s">
        <v>0</v>
      </c>
      <c r="M53" s="19">
        <v>3</v>
      </c>
      <c r="N53" s="19">
        <v>3</v>
      </c>
      <c r="O53" s="19">
        <v>6</v>
      </c>
      <c r="P53" s="19">
        <v>1</v>
      </c>
      <c r="Q53" s="19">
        <v>3</v>
      </c>
      <c r="R53" s="19">
        <v>3</v>
      </c>
      <c r="S53" s="19">
        <v>13</v>
      </c>
      <c r="T53" s="19">
        <v>10</v>
      </c>
      <c r="U53" s="19">
        <v>4</v>
      </c>
      <c r="V53" s="19">
        <v>7</v>
      </c>
      <c r="W53" s="19">
        <v>8</v>
      </c>
      <c r="X53" s="19">
        <v>9</v>
      </c>
      <c r="Y53" s="19">
        <v>5</v>
      </c>
      <c r="Z53" s="19">
        <v>4</v>
      </c>
      <c r="AA53" s="19">
        <v>5</v>
      </c>
      <c r="AB53" s="19">
        <v>3</v>
      </c>
      <c r="AC53" s="23">
        <f>SUMPRODUCT(OG_Data!D$1:S$1, M53:AB53) /SUM(M53:AB53)</f>
        <v>8.9770114942528743</v>
      </c>
      <c r="AD53" s="19">
        <f t="shared" si="0"/>
        <v>87</v>
      </c>
      <c r="AE53" s="19">
        <v>0</v>
      </c>
      <c r="AF53" s="19">
        <v>6</v>
      </c>
      <c r="AH53" s="19">
        <f>Table3[[#This Row],[Flies_per_Vial]]*Table3[[#This Row],[Vials_Total_UsedInMaze]]</f>
        <v>0</v>
      </c>
      <c r="AK53" s="29">
        <f t="shared" si="3"/>
        <v>9</v>
      </c>
      <c r="AL53" s="32"/>
      <c r="AM53" s="32"/>
    </row>
    <row r="54" spans="1:39" s="19" customFormat="1" x14ac:dyDescent="0.35">
      <c r="A54" s="19">
        <v>3</v>
      </c>
      <c r="B54" s="19">
        <v>2</v>
      </c>
      <c r="C54" s="19" t="s">
        <v>154</v>
      </c>
      <c r="D54" s="19" t="s">
        <v>109</v>
      </c>
      <c r="E54" s="20">
        <v>0.375</v>
      </c>
      <c r="G54" s="21"/>
      <c r="H54" s="5" t="s">
        <v>136</v>
      </c>
      <c r="I54" s="19" t="s">
        <v>6</v>
      </c>
      <c r="J54" s="19">
        <v>4</v>
      </c>
      <c r="K54" s="19" t="s">
        <v>2</v>
      </c>
      <c r="L54" s="22" t="s">
        <v>0</v>
      </c>
      <c r="M54" s="19">
        <v>5</v>
      </c>
      <c r="N54" s="19">
        <v>8</v>
      </c>
      <c r="O54" s="19">
        <v>11</v>
      </c>
      <c r="P54" s="19">
        <v>4</v>
      </c>
      <c r="Q54" s="19">
        <v>6</v>
      </c>
      <c r="R54" s="19">
        <v>18</v>
      </c>
      <c r="S54" s="19">
        <v>1</v>
      </c>
      <c r="T54" s="19">
        <v>15</v>
      </c>
      <c r="U54" s="19">
        <v>13</v>
      </c>
      <c r="V54" s="19">
        <v>4</v>
      </c>
      <c r="W54" s="19">
        <v>17</v>
      </c>
      <c r="X54" s="19">
        <v>2</v>
      </c>
      <c r="Y54" s="19">
        <v>4</v>
      </c>
      <c r="Z54" s="19">
        <v>0</v>
      </c>
      <c r="AA54" s="19">
        <v>1</v>
      </c>
      <c r="AB54" s="19">
        <v>3</v>
      </c>
      <c r="AC54" s="23">
        <f>SUMPRODUCT(OG_Data!D$1:S$1, M54:AB54) /SUM(M54:AB54)</f>
        <v>7.3035714285714288</v>
      </c>
      <c r="AD54" s="19">
        <f t="shared" si="0"/>
        <v>112</v>
      </c>
      <c r="AE54" s="19">
        <v>0</v>
      </c>
      <c r="AF54" s="19">
        <v>6</v>
      </c>
      <c r="AH54" s="19">
        <f>Table3[[#This Row],[Flies_per_Vial]]*Table3[[#This Row],[Vials_Total_UsedInMaze]]</f>
        <v>0</v>
      </c>
      <c r="AK54" s="29">
        <f t="shared" si="3"/>
        <v>9</v>
      </c>
      <c r="AL54" s="32"/>
      <c r="AM54" s="32"/>
    </row>
    <row r="55" spans="1:39" s="19" customFormat="1" x14ac:dyDescent="0.35">
      <c r="A55" s="19">
        <v>3</v>
      </c>
      <c r="B55" s="19">
        <v>2</v>
      </c>
      <c r="C55" s="19" t="s">
        <v>154</v>
      </c>
      <c r="D55" s="19" t="s">
        <v>109</v>
      </c>
      <c r="E55" s="20">
        <v>0.375</v>
      </c>
      <c r="G55" s="21"/>
      <c r="H55" s="5" t="s">
        <v>136</v>
      </c>
      <c r="I55" s="19" t="s">
        <v>6</v>
      </c>
      <c r="J55" s="19">
        <v>4</v>
      </c>
      <c r="K55" s="19" t="s">
        <v>1</v>
      </c>
      <c r="L55" s="22" t="s">
        <v>3</v>
      </c>
      <c r="M55" s="19">
        <v>0</v>
      </c>
      <c r="N55" s="19">
        <v>3</v>
      </c>
      <c r="O55" s="19">
        <v>2</v>
      </c>
      <c r="P55" s="19">
        <v>3</v>
      </c>
      <c r="Q55" s="19">
        <v>5</v>
      </c>
      <c r="R55" s="19">
        <v>0</v>
      </c>
      <c r="S55" s="19">
        <v>3</v>
      </c>
      <c r="T55" s="19">
        <v>8</v>
      </c>
      <c r="U55" s="19">
        <v>4</v>
      </c>
      <c r="V55" s="19">
        <v>4</v>
      </c>
      <c r="W55" s="19">
        <v>0</v>
      </c>
      <c r="X55" s="19">
        <v>1</v>
      </c>
      <c r="Y55" s="19">
        <v>0</v>
      </c>
      <c r="Z55" s="19">
        <v>1</v>
      </c>
      <c r="AA55" s="19">
        <v>1</v>
      </c>
      <c r="AB55" s="19">
        <v>0</v>
      </c>
      <c r="AC55" s="23">
        <f>SUMPRODUCT(OG_Data!D$1:S$1, M55:AB55) /SUM(M55:AB55)</f>
        <v>7.1714285714285717</v>
      </c>
      <c r="AD55" s="19">
        <f t="shared" si="0"/>
        <v>35</v>
      </c>
      <c r="AE55" s="19">
        <v>0</v>
      </c>
      <c r="AF55" s="19">
        <v>6</v>
      </c>
      <c r="AH55" s="19">
        <f>Table3[[#This Row],[Flies_per_Vial]]*Table3[[#This Row],[Vials_Total_UsedInMaze]]</f>
        <v>0</v>
      </c>
      <c r="AK55" s="29">
        <f t="shared" si="3"/>
        <v>9</v>
      </c>
      <c r="AL55" s="32"/>
      <c r="AM55" s="32"/>
    </row>
    <row r="56" spans="1:39" s="19" customFormat="1" x14ac:dyDescent="0.35">
      <c r="A56" s="19">
        <v>3</v>
      </c>
      <c r="B56" s="19">
        <v>2</v>
      </c>
      <c r="C56" s="19" t="s">
        <v>155</v>
      </c>
      <c r="D56" s="19" t="s">
        <v>109</v>
      </c>
      <c r="E56" s="20">
        <v>0.5229166666666667</v>
      </c>
      <c r="G56" s="21"/>
      <c r="H56" s="5" t="s">
        <v>136</v>
      </c>
      <c r="I56" s="19" t="s">
        <v>6</v>
      </c>
      <c r="J56" s="19">
        <v>3</v>
      </c>
      <c r="K56" s="19" t="s">
        <v>5</v>
      </c>
      <c r="L56" s="22" t="s">
        <v>3</v>
      </c>
      <c r="M56" s="19">
        <v>0</v>
      </c>
      <c r="N56" s="19">
        <v>0</v>
      </c>
      <c r="O56" s="19">
        <v>0</v>
      </c>
      <c r="P56" s="19">
        <v>1</v>
      </c>
      <c r="Q56" s="19">
        <v>5</v>
      </c>
      <c r="R56" s="19">
        <v>8</v>
      </c>
      <c r="S56" s="19">
        <v>14</v>
      </c>
      <c r="T56" s="19">
        <v>13</v>
      </c>
      <c r="U56" s="19">
        <v>9</v>
      </c>
      <c r="V56" s="19">
        <v>5</v>
      </c>
      <c r="W56" s="19">
        <v>5</v>
      </c>
      <c r="X56" s="19">
        <v>0</v>
      </c>
      <c r="Y56" s="19">
        <v>1</v>
      </c>
      <c r="Z56" s="19">
        <v>4</v>
      </c>
      <c r="AA56" s="19">
        <v>14</v>
      </c>
      <c r="AB56" s="19">
        <v>4</v>
      </c>
      <c r="AC56" s="23">
        <f>SUMPRODUCT(OG_Data!D$1:S$1, M56:AB56) /SUM(M56:AB56)</f>
        <v>9.7349397590361448</v>
      </c>
      <c r="AD56" s="19">
        <f t="shared" si="0"/>
        <v>83</v>
      </c>
      <c r="AE56" s="19">
        <v>0</v>
      </c>
      <c r="AF56" s="19">
        <v>6</v>
      </c>
      <c r="AH56" s="19">
        <f>Table3[[#This Row],[Flies_per_Vial]]*Table3[[#This Row],[Vials_Total_UsedInMaze]]</f>
        <v>0</v>
      </c>
      <c r="AK56" s="29">
        <f t="shared" si="3"/>
        <v>12.55</v>
      </c>
      <c r="AL56" s="32"/>
      <c r="AM56" s="32"/>
    </row>
    <row r="57" spans="1:39" s="19" customFormat="1" x14ac:dyDescent="0.35">
      <c r="A57" s="19">
        <v>3</v>
      </c>
      <c r="B57" s="19">
        <v>2</v>
      </c>
      <c r="C57" s="19" t="s">
        <v>155</v>
      </c>
      <c r="D57" s="19" t="s">
        <v>109</v>
      </c>
      <c r="E57" s="20">
        <v>0.5229166666666667</v>
      </c>
      <c r="G57" s="21"/>
      <c r="H57" s="5" t="s">
        <v>136</v>
      </c>
      <c r="I57" s="19" t="s">
        <v>6</v>
      </c>
      <c r="J57" s="19">
        <v>3</v>
      </c>
      <c r="K57" s="19" t="s">
        <v>4</v>
      </c>
      <c r="L57" s="22" t="s">
        <v>0</v>
      </c>
      <c r="M57" s="19">
        <v>15</v>
      </c>
      <c r="N57" s="19">
        <v>13</v>
      </c>
      <c r="O57" s="19">
        <v>11</v>
      </c>
      <c r="P57" s="19">
        <v>13</v>
      </c>
      <c r="Q57" s="19">
        <v>10</v>
      </c>
      <c r="R57" s="19">
        <v>7</v>
      </c>
      <c r="S57" s="19">
        <v>6</v>
      </c>
      <c r="T57" s="19">
        <v>7</v>
      </c>
      <c r="U57" s="19">
        <v>3</v>
      </c>
      <c r="V57" s="19">
        <v>4</v>
      </c>
      <c r="W57" s="19">
        <v>5</v>
      </c>
      <c r="X57" s="19">
        <v>1</v>
      </c>
      <c r="Y57" s="19">
        <v>0</v>
      </c>
      <c r="Z57" s="19">
        <v>1</v>
      </c>
      <c r="AA57" s="19">
        <v>15</v>
      </c>
      <c r="AB57" s="19">
        <v>16</v>
      </c>
      <c r="AC57" s="23">
        <f>SUMPRODUCT(OG_Data!D$1:S$1, M57:AB57) /SUM(M57:AB57)</f>
        <v>7.4409448818897639</v>
      </c>
      <c r="AD57" s="19">
        <f t="shared" si="0"/>
        <v>127</v>
      </c>
      <c r="AE57" s="19">
        <v>0</v>
      </c>
      <c r="AF57" s="19">
        <v>6</v>
      </c>
      <c r="AH57" s="19">
        <f>Table3[[#This Row],[Flies_per_Vial]]*Table3[[#This Row],[Vials_Total_UsedInMaze]]</f>
        <v>0</v>
      </c>
      <c r="AK57" s="29">
        <f t="shared" si="3"/>
        <v>12.55</v>
      </c>
      <c r="AL57" s="32"/>
      <c r="AM57" s="32"/>
    </row>
    <row r="58" spans="1:39" s="19" customFormat="1" x14ac:dyDescent="0.35">
      <c r="A58" s="19">
        <v>3</v>
      </c>
      <c r="B58" s="19">
        <v>2</v>
      </c>
      <c r="C58" s="19" t="s">
        <v>155</v>
      </c>
      <c r="D58" s="19" t="s">
        <v>109</v>
      </c>
      <c r="E58" s="20">
        <v>0.5229166666666667</v>
      </c>
      <c r="G58" s="21"/>
      <c r="H58" s="5" t="s">
        <v>136</v>
      </c>
      <c r="I58" s="19" t="s">
        <v>6</v>
      </c>
      <c r="J58" s="19">
        <v>3</v>
      </c>
      <c r="K58" s="19" t="s">
        <v>2</v>
      </c>
      <c r="L58" s="22" t="s">
        <v>0</v>
      </c>
      <c r="M58" s="19">
        <v>14</v>
      </c>
      <c r="N58" s="19">
        <v>15</v>
      </c>
      <c r="O58" s="19">
        <v>20</v>
      </c>
      <c r="P58" s="19">
        <v>5</v>
      </c>
      <c r="Q58" s="19">
        <v>11</v>
      </c>
      <c r="R58" s="19">
        <v>22</v>
      </c>
      <c r="S58" s="19">
        <v>3</v>
      </c>
      <c r="T58" s="19">
        <v>10</v>
      </c>
      <c r="U58" s="19">
        <v>3</v>
      </c>
      <c r="V58" s="19">
        <v>1</v>
      </c>
      <c r="W58" s="19">
        <v>3</v>
      </c>
      <c r="X58" s="19">
        <v>2</v>
      </c>
      <c r="Y58" s="19">
        <v>1</v>
      </c>
      <c r="Z58" s="19">
        <v>1</v>
      </c>
      <c r="AA58" s="19">
        <v>0</v>
      </c>
      <c r="AB58" s="19">
        <v>0</v>
      </c>
      <c r="AC58" s="23">
        <f>SUMPRODUCT(OG_Data!D$1:S$1, M58:AB58) /SUM(M58:AB58)</f>
        <v>4.801801801801802</v>
      </c>
      <c r="AD58" s="19">
        <f t="shared" si="0"/>
        <v>111</v>
      </c>
      <c r="AE58" s="19">
        <v>0</v>
      </c>
      <c r="AF58" s="19">
        <v>6</v>
      </c>
      <c r="AH58" s="19">
        <f>Table3[[#This Row],[Flies_per_Vial]]*Table3[[#This Row],[Vials_Total_UsedInMaze]]</f>
        <v>0</v>
      </c>
      <c r="AK58" s="29">
        <f t="shared" si="3"/>
        <v>12.55</v>
      </c>
      <c r="AL58" s="32"/>
      <c r="AM58" s="32"/>
    </row>
    <row r="59" spans="1:39" s="19" customFormat="1" x14ac:dyDescent="0.35">
      <c r="A59" s="19">
        <v>3</v>
      </c>
      <c r="B59" s="19">
        <v>2</v>
      </c>
      <c r="C59" s="19" t="s">
        <v>155</v>
      </c>
      <c r="D59" s="19" t="s">
        <v>109</v>
      </c>
      <c r="E59" s="20">
        <v>0.5229166666666667</v>
      </c>
      <c r="G59" s="21"/>
      <c r="H59" s="5" t="s">
        <v>136</v>
      </c>
      <c r="I59" s="19" t="s">
        <v>6</v>
      </c>
      <c r="J59" s="19">
        <v>3</v>
      </c>
      <c r="K59" s="19" t="s">
        <v>1</v>
      </c>
      <c r="L59" s="22" t="s">
        <v>3</v>
      </c>
      <c r="M59" s="19">
        <v>7</v>
      </c>
      <c r="N59" s="19">
        <v>15</v>
      </c>
      <c r="O59" s="19">
        <v>4</v>
      </c>
      <c r="P59" s="19">
        <v>9</v>
      </c>
      <c r="Q59" s="19">
        <v>9</v>
      </c>
      <c r="R59" s="19">
        <v>5</v>
      </c>
      <c r="S59" s="19">
        <v>3</v>
      </c>
      <c r="T59" s="19">
        <v>12</v>
      </c>
      <c r="U59" s="19">
        <v>3</v>
      </c>
      <c r="V59" s="19">
        <v>5</v>
      </c>
      <c r="W59" s="19">
        <v>4</v>
      </c>
      <c r="X59" s="19">
        <v>3</v>
      </c>
      <c r="Y59" s="19">
        <v>1</v>
      </c>
      <c r="Z59" s="19">
        <v>2</v>
      </c>
      <c r="AA59" s="19">
        <v>0</v>
      </c>
      <c r="AB59" s="19">
        <v>0</v>
      </c>
      <c r="AC59" s="23">
        <f>SUMPRODUCT(OG_Data!D$1:S$1, M59:AB59) /SUM(M59:AB59)</f>
        <v>5.7926829268292686</v>
      </c>
      <c r="AD59" s="19">
        <f t="shared" si="0"/>
        <v>82</v>
      </c>
      <c r="AE59" s="19">
        <v>0</v>
      </c>
      <c r="AF59" s="19">
        <v>6</v>
      </c>
      <c r="AH59" s="19">
        <f>Table3[[#This Row],[Flies_per_Vial]]*Table3[[#This Row],[Vials_Total_UsedInMaze]]</f>
        <v>0</v>
      </c>
      <c r="AK59" s="29">
        <f t="shared" si="3"/>
        <v>12.55</v>
      </c>
      <c r="AL59" s="32"/>
      <c r="AM59" s="32"/>
    </row>
    <row r="60" spans="1:39" x14ac:dyDescent="0.35">
      <c r="A60">
        <v>4</v>
      </c>
      <c r="B60">
        <v>1</v>
      </c>
      <c r="C60" t="s">
        <v>154</v>
      </c>
      <c r="D60" t="s">
        <v>114</v>
      </c>
      <c r="E60" s="2">
        <v>0.44444444444444442</v>
      </c>
      <c r="G60" s="13"/>
      <c r="H60" s="2" t="s">
        <v>136</v>
      </c>
      <c r="I60" t="s">
        <v>6</v>
      </c>
      <c r="J60">
        <v>1</v>
      </c>
      <c r="K60" t="s">
        <v>5</v>
      </c>
      <c r="L60" s="14" t="s">
        <v>0</v>
      </c>
      <c r="M60">
        <v>0</v>
      </c>
      <c r="N60">
        <v>1</v>
      </c>
      <c r="O60">
        <v>0</v>
      </c>
      <c r="P60">
        <v>0</v>
      </c>
      <c r="Q60">
        <v>3</v>
      </c>
      <c r="R60">
        <v>2</v>
      </c>
      <c r="S60">
        <v>5</v>
      </c>
      <c r="T60">
        <v>14</v>
      </c>
      <c r="U60">
        <v>9</v>
      </c>
      <c r="V60">
        <v>5</v>
      </c>
      <c r="W60">
        <v>10</v>
      </c>
      <c r="X60">
        <v>2</v>
      </c>
      <c r="Y60">
        <v>0</v>
      </c>
      <c r="Z60">
        <v>5</v>
      </c>
      <c r="AA60">
        <v>3</v>
      </c>
      <c r="AB60">
        <v>1</v>
      </c>
      <c r="AC60" s="18">
        <f>SUMPRODUCT(OG_Data!D$1:S$1, M60:AB60) /SUM(M60:AB60)</f>
        <v>9.5333333333333332</v>
      </c>
      <c r="AD60">
        <f t="shared" si="0"/>
        <v>60</v>
      </c>
      <c r="AE60">
        <v>0</v>
      </c>
      <c r="AF60">
        <v>6</v>
      </c>
      <c r="AG60">
        <v>20</v>
      </c>
      <c r="AH60">
        <f>Table3[[#This Row],[Flies_per_Vial]]*Table3[[#This Row],[Vials_Total_UsedInMaze]]</f>
        <v>120</v>
      </c>
      <c r="AI60">
        <f>Table3[[#This Row],[total_Flies]]/Table3[[#This Row],[flies_in]]</f>
        <v>0.5</v>
      </c>
      <c r="AJ60"/>
      <c r="AK60" s="31">
        <f t="shared" ref="AK60:AK91" si="4">24*E60</f>
        <v>10.666666666666666</v>
      </c>
      <c r="AL60" s="31"/>
      <c r="AM60" s="31"/>
    </row>
    <row r="61" spans="1:39" x14ac:dyDescent="0.35">
      <c r="A61">
        <v>4</v>
      </c>
      <c r="B61">
        <v>1</v>
      </c>
      <c r="C61" t="s">
        <v>154</v>
      </c>
      <c r="D61" t="s">
        <v>114</v>
      </c>
      <c r="E61" s="2">
        <v>0.44444444444444442</v>
      </c>
      <c r="G61" s="13"/>
      <c r="H61" s="2" t="s">
        <v>136</v>
      </c>
      <c r="I61" t="s">
        <v>6</v>
      </c>
      <c r="J61">
        <v>1</v>
      </c>
      <c r="K61" t="s">
        <v>4</v>
      </c>
      <c r="L61" s="14" t="s">
        <v>3</v>
      </c>
      <c r="M61">
        <v>2</v>
      </c>
      <c r="N61">
        <v>2</v>
      </c>
      <c r="O61">
        <v>0</v>
      </c>
      <c r="P61">
        <v>1</v>
      </c>
      <c r="Q61">
        <v>0</v>
      </c>
      <c r="R61">
        <v>1</v>
      </c>
      <c r="S61">
        <v>9</v>
      </c>
      <c r="T61">
        <v>6</v>
      </c>
      <c r="U61">
        <v>4</v>
      </c>
      <c r="V61">
        <v>5</v>
      </c>
      <c r="W61">
        <v>0</v>
      </c>
      <c r="X61">
        <v>5</v>
      </c>
      <c r="Y61">
        <v>5</v>
      </c>
      <c r="Z61">
        <v>5</v>
      </c>
      <c r="AA61">
        <v>9</v>
      </c>
      <c r="AB61">
        <v>11</v>
      </c>
      <c r="AC61" s="18">
        <f>SUMPRODUCT(OG_Data!D$1:S$1, M61:AB61) /SUM(M61:AB61)</f>
        <v>11.061538461538461</v>
      </c>
      <c r="AD61">
        <f t="shared" si="0"/>
        <v>65</v>
      </c>
      <c r="AE61">
        <v>0</v>
      </c>
      <c r="AF61">
        <v>6</v>
      </c>
      <c r="AG61">
        <v>20</v>
      </c>
      <c r="AH61">
        <f>Table3[[#This Row],[Flies_per_Vial]]*Table3[[#This Row],[Vials_Total_UsedInMaze]]</f>
        <v>120</v>
      </c>
      <c r="AI61">
        <f>Table3[[#This Row],[total_Flies]]/Table3[[#This Row],[flies_in]]</f>
        <v>0.54166666666666663</v>
      </c>
      <c r="AJ61"/>
      <c r="AK61" s="31">
        <f t="shared" si="4"/>
        <v>10.666666666666666</v>
      </c>
      <c r="AL61" s="31"/>
      <c r="AM61" s="31"/>
    </row>
    <row r="62" spans="1:39" x14ac:dyDescent="0.35">
      <c r="A62">
        <v>4</v>
      </c>
      <c r="B62">
        <v>1</v>
      </c>
      <c r="C62" t="s">
        <v>154</v>
      </c>
      <c r="D62" t="s">
        <v>114</v>
      </c>
      <c r="E62" s="2">
        <v>0.44444444444444442</v>
      </c>
      <c r="G62" s="13"/>
      <c r="H62" s="2" t="s">
        <v>136</v>
      </c>
      <c r="I62" t="s">
        <v>6</v>
      </c>
      <c r="J62">
        <v>1</v>
      </c>
      <c r="K62" t="s">
        <v>2</v>
      </c>
      <c r="L62" s="14" t="s">
        <v>3</v>
      </c>
      <c r="M62">
        <v>4</v>
      </c>
      <c r="N62">
        <v>6</v>
      </c>
      <c r="O62">
        <v>13</v>
      </c>
      <c r="P62">
        <v>4</v>
      </c>
      <c r="Q62">
        <v>5</v>
      </c>
      <c r="R62">
        <v>9</v>
      </c>
      <c r="S62">
        <v>4</v>
      </c>
      <c r="T62">
        <v>6</v>
      </c>
      <c r="U62">
        <v>14</v>
      </c>
      <c r="V62">
        <v>3</v>
      </c>
      <c r="W62">
        <v>7</v>
      </c>
      <c r="X62">
        <v>1</v>
      </c>
      <c r="Y62">
        <v>0</v>
      </c>
      <c r="Z62">
        <v>2</v>
      </c>
      <c r="AA62">
        <v>1</v>
      </c>
      <c r="AB62">
        <v>0</v>
      </c>
      <c r="AC62" s="18">
        <f>SUMPRODUCT(OG_Data!D$1:S$1, M62:AB62) /SUM(M62:AB62)</f>
        <v>6.5063291139240507</v>
      </c>
      <c r="AD62">
        <f t="shared" si="0"/>
        <v>79</v>
      </c>
      <c r="AE62">
        <v>0</v>
      </c>
      <c r="AF62">
        <v>6</v>
      </c>
      <c r="AG62">
        <v>20</v>
      </c>
      <c r="AH62">
        <f>Table3[[#This Row],[Flies_per_Vial]]*Table3[[#This Row],[Vials_Total_UsedInMaze]]</f>
        <v>120</v>
      </c>
      <c r="AI62">
        <f>Table3[[#This Row],[total_Flies]]/Table3[[#This Row],[flies_in]]</f>
        <v>0.65833333333333333</v>
      </c>
      <c r="AJ62"/>
      <c r="AK62" s="31">
        <f t="shared" si="4"/>
        <v>10.666666666666666</v>
      </c>
      <c r="AL62" s="31"/>
      <c r="AM62" s="31"/>
    </row>
    <row r="63" spans="1:39" x14ac:dyDescent="0.35">
      <c r="A63">
        <v>4</v>
      </c>
      <c r="B63">
        <v>1</v>
      </c>
      <c r="C63" t="s">
        <v>154</v>
      </c>
      <c r="D63" t="s">
        <v>114</v>
      </c>
      <c r="E63" s="2">
        <v>0.44444444444444442</v>
      </c>
      <c r="G63" s="13"/>
      <c r="H63" s="2" t="s">
        <v>136</v>
      </c>
      <c r="I63" t="s">
        <v>6</v>
      </c>
      <c r="J63">
        <v>1</v>
      </c>
      <c r="K63" t="s">
        <v>1</v>
      </c>
      <c r="L63" s="14" t="s">
        <v>0</v>
      </c>
      <c r="M63">
        <v>3</v>
      </c>
      <c r="N63">
        <v>6</v>
      </c>
      <c r="O63">
        <v>2</v>
      </c>
      <c r="P63">
        <v>12</v>
      </c>
      <c r="Q63">
        <v>4</v>
      </c>
      <c r="R63">
        <v>10</v>
      </c>
      <c r="S63">
        <v>1</v>
      </c>
      <c r="T63">
        <v>13</v>
      </c>
      <c r="U63">
        <v>10</v>
      </c>
      <c r="V63">
        <v>3</v>
      </c>
      <c r="W63">
        <v>2</v>
      </c>
      <c r="X63">
        <v>3</v>
      </c>
      <c r="Y63">
        <v>3</v>
      </c>
      <c r="Z63">
        <v>3</v>
      </c>
      <c r="AA63">
        <v>1</v>
      </c>
      <c r="AB63">
        <v>0</v>
      </c>
      <c r="AC63" s="18">
        <f>SUMPRODUCT(OG_Data!D$1:S$1, M63:AB63) /SUM(M63:AB63)</f>
        <v>7.0263157894736841</v>
      </c>
      <c r="AD63">
        <f t="shared" si="0"/>
        <v>76</v>
      </c>
      <c r="AE63">
        <v>0</v>
      </c>
      <c r="AF63">
        <v>6</v>
      </c>
      <c r="AG63">
        <v>20</v>
      </c>
      <c r="AH63">
        <f>Table3[[#This Row],[Flies_per_Vial]]*Table3[[#This Row],[Vials_Total_UsedInMaze]]</f>
        <v>120</v>
      </c>
      <c r="AI63">
        <f>Table3[[#This Row],[total_Flies]]/Table3[[#This Row],[flies_in]]</f>
        <v>0.6333333333333333</v>
      </c>
      <c r="AJ63"/>
      <c r="AK63" s="31">
        <f t="shared" si="4"/>
        <v>10.666666666666666</v>
      </c>
      <c r="AL63" s="31"/>
      <c r="AM63" s="31"/>
    </row>
    <row r="64" spans="1:39" x14ac:dyDescent="0.35">
      <c r="A64">
        <v>4</v>
      </c>
      <c r="B64">
        <v>1</v>
      </c>
      <c r="C64" t="s">
        <v>155</v>
      </c>
      <c r="D64" t="s">
        <v>114</v>
      </c>
      <c r="E64" s="2">
        <v>0.59375</v>
      </c>
      <c r="G64" s="13"/>
      <c r="H64" s="2" t="s">
        <v>136</v>
      </c>
      <c r="I64" t="s">
        <v>6</v>
      </c>
      <c r="J64">
        <v>2</v>
      </c>
      <c r="K64" t="s">
        <v>5</v>
      </c>
      <c r="L64" s="14" t="s">
        <v>0</v>
      </c>
      <c r="M64">
        <v>1</v>
      </c>
      <c r="N64">
        <v>0</v>
      </c>
      <c r="O64">
        <v>0</v>
      </c>
      <c r="P64">
        <v>2</v>
      </c>
      <c r="Q64">
        <v>1</v>
      </c>
      <c r="R64">
        <v>1</v>
      </c>
      <c r="S64">
        <v>1</v>
      </c>
      <c r="T64">
        <v>5</v>
      </c>
      <c r="U64">
        <v>3</v>
      </c>
      <c r="V64">
        <v>5</v>
      </c>
      <c r="W64">
        <v>6</v>
      </c>
      <c r="X64">
        <v>8</v>
      </c>
      <c r="Y64">
        <v>9</v>
      </c>
      <c r="Z64">
        <v>11</v>
      </c>
      <c r="AA64">
        <v>12</v>
      </c>
      <c r="AB64">
        <v>13</v>
      </c>
      <c r="AC64" s="18">
        <f>SUMPRODUCT(OG_Data!D$1:S$1, M64:AB64) /SUM(M64:AB64)</f>
        <v>12.371794871794872</v>
      </c>
      <c r="AD64">
        <f t="shared" si="0"/>
        <v>78</v>
      </c>
      <c r="AE64">
        <v>0</v>
      </c>
      <c r="AF64">
        <v>6</v>
      </c>
      <c r="AG64">
        <v>20</v>
      </c>
      <c r="AH64">
        <f>Table3[[#This Row],[Flies_per_Vial]]*Table3[[#This Row],[Vials_Total_UsedInMaze]]</f>
        <v>120</v>
      </c>
      <c r="AI64">
        <f>Table3[[#This Row],[total_Flies]]/Table3[[#This Row],[flies_in]]</f>
        <v>0.65</v>
      </c>
      <c r="AJ64"/>
      <c r="AK64" s="31">
        <f t="shared" si="4"/>
        <v>14.25</v>
      </c>
      <c r="AL64" s="31"/>
      <c r="AM64" s="31"/>
    </row>
    <row r="65" spans="1:39" x14ac:dyDescent="0.35">
      <c r="A65">
        <v>4</v>
      </c>
      <c r="B65">
        <v>1</v>
      </c>
      <c r="C65" t="s">
        <v>155</v>
      </c>
      <c r="D65" t="s">
        <v>114</v>
      </c>
      <c r="E65" s="2">
        <v>0.59375</v>
      </c>
      <c r="G65" s="13"/>
      <c r="H65" s="2" t="s">
        <v>136</v>
      </c>
      <c r="I65" t="s">
        <v>6</v>
      </c>
      <c r="J65">
        <v>2</v>
      </c>
      <c r="K65" t="s">
        <v>4</v>
      </c>
      <c r="L65" s="14" t="s">
        <v>3</v>
      </c>
      <c r="M65">
        <v>3</v>
      </c>
      <c r="N65">
        <v>5</v>
      </c>
      <c r="O65">
        <v>5</v>
      </c>
      <c r="P65">
        <v>1</v>
      </c>
      <c r="Q65">
        <v>3</v>
      </c>
      <c r="R65">
        <v>2</v>
      </c>
      <c r="S65">
        <v>4</v>
      </c>
      <c r="T65">
        <v>2</v>
      </c>
      <c r="U65">
        <v>10</v>
      </c>
      <c r="V65">
        <v>5</v>
      </c>
      <c r="W65">
        <v>3</v>
      </c>
      <c r="X65">
        <v>8</v>
      </c>
      <c r="Y65">
        <v>4</v>
      </c>
      <c r="Z65">
        <v>5</v>
      </c>
      <c r="AA65">
        <v>5</v>
      </c>
      <c r="AB65">
        <v>6</v>
      </c>
      <c r="AC65" s="18">
        <f>SUMPRODUCT(OG_Data!D$1:S$1, M65:AB65) /SUM(M65:AB65)</f>
        <v>9.3661971830985919</v>
      </c>
      <c r="AD65">
        <f t="shared" si="0"/>
        <v>71</v>
      </c>
      <c r="AE65">
        <v>0</v>
      </c>
      <c r="AF65">
        <v>6</v>
      </c>
      <c r="AG65">
        <v>20</v>
      </c>
      <c r="AH65">
        <f>Table3[[#This Row],[Flies_per_Vial]]*Table3[[#This Row],[Vials_Total_UsedInMaze]]</f>
        <v>120</v>
      </c>
      <c r="AI65">
        <f>Table3[[#This Row],[total_Flies]]/Table3[[#This Row],[flies_in]]</f>
        <v>0.59166666666666667</v>
      </c>
      <c r="AJ65"/>
      <c r="AK65" s="31">
        <f t="shared" si="4"/>
        <v>14.25</v>
      </c>
      <c r="AL65" s="31"/>
      <c r="AM65" s="31"/>
    </row>
    <row r="66" spans="1:39" x14ac:dyDescent="0.35">
      <c r="A66">
        <v>4</v>
      </c>
      <c r="B66">
        <v>1</v>
      </c>
      <c r="C66" t="s">
        <v>155</v>
      </c>
      <c r="D66" t="s">
        <v>114</v>
      </c>
      <c r="E66" s="2">
        <v>0.59375</v>
      </c>
      <c r="G66" s="13"/>
      <c r="H66" s="2" t="s">
        <v>136</v>
      </c>
      <c r="I66" t="s">
        <v>6</v>
      </c>
      <c r="J66">
        <v>2</v>
      </c>
      <c r="K66" t="s">
        <v>2</v>
      </c>
      <c r="L66" s="14" t="s">
        <v>3</v>
      </c>
      <c r="M66">
        <v>29</v>
      </c>
      <c r="N66">
        <v>21</v>
      </c>
      <c r="O66">
        <v>9</v>
      </c>
      <c r="P66">
        <v>9</v>
      </c>
      <c r="Q66">
        <v>9</v>
      </c>
      <c r="R66">
        <v>4</v>
      </c>
      <c r="S66">
        <v>2</v>
      </c>
      <c r="T66">
        <v>4</v>
      </c>
      <c r="U66">
        <v>3</v>
      </c>
      <c r="V66">
        <v>2</v>
      </c>
      <c r="W66">
        <v>0</v>
      </c>
      <c r="X66">
        <v>2</v>
      </c>
      <c r="Y66">
        <v>0</v>
      </c>
      <c r="Z66">
        <v>0</v>
      </c>
      <c r="AA66">
        <v>1</v>
      </c>
      <c r="AB66">
        <v>0</v>
      </c>
      <c r="AC66" s="18">
        <f>SUMPRODUCT(OG_Data!D$1:S$1, M66:AB66) /SUM(M66:AB66)</f>
        <v>3.5263157894736841</v>
      </c>
      <c r="AD66">
        <f t="shared" ref="AD66:AD129" si="5">SUM(M66:AB66)</f>
        <v>95</v>
      </c>
      <c r="AE66">
        <v>0</v>
      </c>
      <c r="AF66">
        <v>6</v>
      </c>
      <c r="AG66">
        <v>20</v>
      </c>
      <c r="AH66">
        <f>Table3[[#This Row],[Flies_per_Vial]]*Table3[[#This Row],[Vials_Total_UsedInMaze]]</f>
        <v>120</v>
      </c>
      <c r="AI66">
        <f>Table3[[#This Row],[total_Flies]]/Table3[[#This Row],[flies_in]]</f>
        <v>0.79166666666666663</v>
      </c>
      <c r="AJ66"/>
      <c r="AK66" s="31">
        <f t="shared" si="4"/>
        <v>14.25</v>
      </c>
      <c r="AL66" s="31"/>
      <c r="AM66" s="31"/>
    </row>
    <row r="67" spans="1:39" x14ac:dyDescent="0.35">
      <c r="A67">
        <v>4</v>
      </c>
      <c r="B67">
        <v>1</v>
      </c>
      <c r="C67" t="s">
        <v>155</v>
      </c>
      <c r="D67" t="s">
        <v>114</v>
      </c>
      <c r="E67" s="2">
        <v>0.59375</v>
      </c>
      <c r="G67" s="13"/>
      <c r="H67" s="2" t="s">
        <v>136</v>
      </c>
      <c r="I67" t="s">
        <v>6</v>
      </c>
      <c r="J67">
        <v>2</v>
      </c>
      <c r="K67" t="s">
        <v>1</v>
      </c>
      <c r="L67" s="14" t="s">
        <v>0</v>
      </c>
      <c r="M67">
        <v>3</v>
      </c>
      <c r="N67">
        <v>3</v>
      </c>
      <c r="O67">
        <v>9</v>
      </c>
      <c r="P67">
        <v>6</v>
      </c>
      <c r="Q67">
        <v>4</v>
      </c>
      <c r="R67">
        <v>17</v>
      </c>
      <c r="S67">
        <v>2</v>
      </c>
      <c r="T67">
        <v>8</v>
      </c>
      <c r="U67">
        <v>15</v>
      </c>
      <c r="V67">
        <v>13</v>
      </c>
      <c r="W67">
        <v>9</v>
      </c>
      <c r="X67">
        <v>5</v>
      </c>
      <c r="Y67">
        <v>10</v>
      </c>
      <c r="Z67">
        <v>3</v>
      </c>
      <c r="AA67">
        <v>0</v>
      </c>
      <c r="AB67">
        <v>0</v>
      </c>
      <c r="AC67" s="18">
        <f>SUMPRODUCT(OG_Data!D$1:S$1, M67:AB67) /SUM(M67:AB67)</f>
        <v>8</v>
      </c>
      <c r="AD67">
        <f t="shared" si="5"/>
        <v>107</v>
      </c>
      <c r="AE67">
        <v>0</v>
      </c>
      <c r="AF67">
        <v>6</v>
      </c>
      <c r="AG67">
        <v>20</v>
      </c>
      <c r="AH67">
        <f>Table3[[#This Row],[Flies_per_Vial]]*Table3[[#This Row],[Vials_Total_UsedInMaze]]</f>
        <v>120</v>
      </c>
      <c r="AI67">
        <f>Table3[[#This Row],[total_Flies]]/Table3[[#This Row],[flies_in]]</f>
        <v>0.89166666666666672</v>
      </c>
      <c r="AJ67"/>
      <c r="AK67" s="31">
        <f t="shared" si="4"/>
        <v>14.25</v>
      </c>
      <c r="AL67" s="31"/>
      <c r="AM67" s="31"/>
    </row>
    <row r="68" spans="1:39" x14ac:dyDescent="0.35">
      <c r="A68">
        <v>4</v>
      </c>
      <c r="B68">
        <v>2</v>
      </c>
      <c r="C68" t="s">
        <v>154</v>
      </c>
      <c r="D68" t="s">
        <v>115</v>
      </c>
      <c r="E68" s="2">
        <v>0.41458333333333336</v>
      </c>
      <c r="G68" s="13"/>
      <c r="H68" s="2" t="s">
        <v>136</v>
      </c>
      <c r="I68" t="s">
        <v>6</v>
      </c>
      <c r="J68">
        <v>3</v>
      </c>
      <c r="K68" t="s">
        <v>5</v>
      </c>
      <c r="L68" s="14" t="s">
        <v>0</v>
      </c>
      <c r="M68">
        <v>0</v>
      </c>
      <c r="N68">
        <v>1</v>
      </c>
      <c r="O68">
        <v>0</v>
      </c>
      <c r="P68">
        <v>0</v>
      </c>
      <c r="Q68">
        <v>2</v>
      </c>
      <c r="R68">
        <v>6</v>
      </c>
      <c r="S68">
        <v>7</v>
      </c>
      <c r="T68">
        <v>22</v>
      </c>
      <c r="U68">
        <v>4</v>
      </c>
      <c r="V68">
        <v>10</v>
      </c>
      <c r="W68">
        <v>2</v>
      </c>
      <c r="X68">
        <v>10</v>
      </c>
      <c r="Y68">
        <v>3</v>
      </c>
      <c r="Z68">
        <v>11</v>
      </c>
      <c r="AA68">
        <v>3</v>
      </c>
      <c r="AB68">
        <v>5</v>
      </c>
      <c r="AC68" s="18">
        <f>SUMPRODUCT(OG_Data!D$1:S$1, M68:AB68) /SUM(M68:AB68)</f>
        <v>10.104651162790697</v>
      </c>
      <c r="AD68">
        <f t="shared" si="5"/>
        <v>86</v>
      </c>
      <c r="AE68">
        <v>0</v>
      </c>
      <c r="AF68">
        <v>6</v>
      </c>
      <c r="AG68">
        <v>20</v>
      </c>
      <c r="AH68">
        <f>Table3[[#This Row],[Flies_per_Vial]]*Table3[[#This Row],[Vials_Total_UsedInMaze]]</f>
        <v>120</v>
      </c>
      <c r="AI68">
        <f>Table3[[#This Row],[total_Flies]]/Table3[[#This Row],[flies_in]]</f>
        <v>0.71666666666666667</v>
      </c>
      <c r="AJ68"/>
      <c r="AK68" s="31">
        <f t="shared" si="4"/>
        <v>9.9500000000000011</v>
      </c>
      <c r="AL68" s="31"/>
      <c r="AM68" s="31"/>
    </row>
    <row r="69" spans="1:39" x14ac:dyDescent="0.35">
      <c r="A69">
        <v>4</v>
      </c>
      <c r="B69">
        <v>2</v>
      </c>
      <c r="C69" t="s">
        <v>154</v>
      </c>
      <c r="D69" s="10" t="s">
        <v>115</v>
      </c>
      <c r="E69" s="2">
        <v>0.41458333333333336</v>
      </c>
      <c r="G69" s="13"/>
      <c r="H69" s="2" t="s">
        <v>136</v>
      </c>
      <c r="I69" t="s">
        <v>6</v>
      </c>
      <c r="J69">
        <v>3</v>
      </c>
      <c r="K69" t="s">
        <v>4</v>
      </c>
      <c r="L69" s="14" t="s">
        <v>3</v>
      </c>
      <c r="M69">
        <v>3</v>
      </c>
      <c r="N69">
        <v>5</v>
      </c>
      <c r="O69">
        <v>4</v>
      </c>
      <c r="P69">
        <v>1</v>
      </c>
      <c r="Q69">
        <v>5</v>
      </c>
      <c r="R69">
        <v>4</v>
      </c>
      <c r="S69">
        <v>8</v>
      </c>
      <c r="T69">
        <v>10</v>
      </c>
      <c r="U69">
        <v>13</v>
      </c>
      <c r="V69">
        <v>3</v>
      </c>
      <c r="W69">
        <v>7</v>
      </c>
      <c r="X69">
        <v>7</v>
      </c>
      <c r="Y69">
        <v>4</v>
      </c>
      <c r="Z69">
        <v>3</v>
      </c>
      <c r="AA69">
        <v>9</v>
      </c>
      <c r="AB69">
        <v>15</v>
      </c>
      <c r="AC69" s="18">
        <f>SUMPRODUCT(OG_Data!D$1:S$1, M69:AB69) /SUM(M69:AB69)</f>
        <v>9.8118811881188126</v>
      </c>
      <c r="AD69">
        <f t="shared" si="5"/>
        <v>101</v>
      </c>
      <c r="AE69">
        <v>0</v>
      </c>
      <c r="AF69">
        <v>6</v>
      </c>
      <c r="AG69">
        <v>20</v>
      </c>
      <c r="AH69">
        <f>Table3[[#This Row],[Flies_per_Vial]]*Table3[[#This Row],[Vials_Total_UsedInMaze]]</f>
        <v>120</v>
      </c>
      <c r="AI69">
        <f>Table3[[#This Row],[total_Flies]]/Table3[[#This Row],[flies_in]]</f>
        <v>0.84166666666666667</v>
      </c>
      <c r="AJ69"/>
      <c r="AK69" s="31">
        <f t="shared" si="4"/>
        <v>9.9500000000000011</v>
      </c>
      <c r="AL69" s="31"/>
      <c r="AM69" s="31"/>
    </row>
    <row r="70" spans="1:39" x14ac:dyDescent="0.35">
      <c r="A70">
        <v>4</v>
      </c>
      <c r="B70">
        <v>2</v>
      </c>
      <c r="C70" t="s">
        <v>154</v>
      </c>
      <c r="D70" t="s">
        <v>115</v>
      </c>
      <c r="E70" s="2">
        <v>0.41458333333333336</v>
      </c>
      <c r="G70" s="13"/>
      <c r="H70" s="2" t="s">
        <v>136</v>
      </c>
      <c r="I70" t="s">
        <v>6</v>
      </c>
      <c r="J70">
        <v>3</v>
      </c>
      <c r="K70" t="s">
        <v>2</v>
      </c>
      <c r="L70" s="14" t="s">
        <v>3</v>
      </c>
      <c r="M70">
        <v>4</v>
      </c>
      <c r="N70">
        <v>14</v>
      </c>
      <c r="O70">
        <v>15</v>
      </c>
      <c r="P70">
        <v>4</v>
      </c>
      <c r="Q70">
        <v>5</v>
      </c>
      <c r="R70">
        <v>6</v>
      </c>
      <c r="S70">
        <v>5</v>
      </c>
      <c r="T70">
        <v>2</v>
      </c>
      <c r="U70">
        <v>14</v>
      </c>
      <c r="V70">
        <v>4</v>
      </c>
      <c r="W70">
        <v>3</v>
      </c>
      <c r="X70">
        <v>2</v>
      </c>
      <c r="Y70">
        <v>3</v>
      </c>
      <c r="Z70">
        <v>1</v>
      </c>
      <c r="AA70">
        <v>1</v>
      </c>
      <c r="AB70">
        <v>3</v>
      </c>
      <c r="AC70" s="18">
        <f>SUMPRODUCT(OG_Data!D$1:S$1, M70:AB70) /SUM(M70:AB70)</f>
        <v>6.3255813953488369</v>
      </c>
      <c r="AD70">
        <f t="shared" si="5"/>
        <v>86</v>
      </c>
      <c r="AE70">
        <v>0</v>
      </c>
      <c r="AF70">
        <v>6</v>
      </c>
      <c r="AG70">
        <v>20</v>
      </c>
      <c r="AH70">
        <f>Table3[[#This Row],[Flies_per_Vial]]*Table3[[#This Row],[Vials_Total_UsedInMaze]]</f>
        <v>120</v>
      </c>
      <c r="AI70">
        <f>Table3[[#This Row],[total_Flies]]/Table3[[#This Row],[flies_in]]</f>
        <v>0.71666666666666667</v>
      </c>
      <c r="AJ70"/>
      <c r="AK70" s="31">
        <f t="shared" si="4"/>
        <v>9.9500000000000011</v>
      </c>
      <c r="AL70" s="31"/>
      <c r="AM70" s="31"/>
    </row>
    <row r="71" spans="1:39" x14ac:dyDescent="0.35">
      <c r="A71">
        <v>4</v>
      </c>
      <c r="B71">
        <v>2</v>
      </c>
      <c r="C71" t="s">
        <v>154</v>
      </c>
      <c r="D71" s="10" t="s">
        <v>115</v>
      </c>
      <c r="E71" s="2">
        <v>0.41458333333333336</v>
      </c>
      <c r="G71" s="13"/>
      <c r="H71" s="2" t="s">
        <v>136</v>
      </c>
      <c r="I71" t="s">
        <v>6</v>
      </c>
      <c r="J71">
        <v>3</v>
      </c>
      <c r="K71" t="s">
        <v>1</v>
      </c>
      <c r="L71" s="14" t="s">
        <v>0</v>
      </c>
      <c r="M71">
        <v>4</v>
      </c>
      <c r="N71">
        <v>7</v>
      </c>
      <c r="O71">
        <v>8</v>
      </c>
      <c r="P71">
        <v>8</v>
      </c>
      <c r="Q71">
        <v>8</v>
      </c>
      <c r="R71">
        <v>9</v>
      </c>
      <c r="S71">
        <v>4</v>
      </c>
      <c r="T71">
        <v>14</v>
      </c>
      <c r="U71">
        <v>9</v>
      </c>
      <c r="V71">
        <v>7</v>
      </c>
      <c r="W71">
        <v>2</v>
      </c>
      <c r="X71">
        <v>6</v>
      </c>
      <c r="Y71">
        <v>1</v>
      </c>
      <c r="Z71">
        <v>0</v>
      </c>
      <c r="AA71">
        <v>1</v>
      </c>
      <c r="AB71">
        <v>0</v>
      </c>
      <c r="AC71" s="18">
        <f>SUMPRODUCT(OG_Data!D$1:S$1, M71:AB71) /SUM(M71:AB71)</f>
        <v>6.6022727272727275</v>
      </c>
      <c r="AD71">
        <f t="shared" si="5"/>
        <v>88</v>
      </c>
      <c r="AE71">
        <v>0</v>
      </c>
      <c r="AF71">
        <v>6</v>
      </c>
      <c r="AG71">
        <v>20</v>
      </c>
      <c r="AH71">
        <f>Table3[[#This Row],[Flies_per_Vial]]*Table3[[#This Row],[Vials_Total_UsedInMaze]]</f>
        <v>120</v>
      </c>
      <c r="AI71">
        <f>Table3[[#This Row],[total_Flies]]/Table3[[#This Row],[flies_in]]</f>
        <v>0.73333333333333328</v>
      </c>
      <c r="AJ71"/>
      <c r="AK71" s="31">
        <f t="shared" si="4"/>
        <v>9.9500000000000011</v>
      </c>
      <c r="AL71" s="31"/>
      <c r="AM71" s="31"/>
    </row>
    <row r="72" spans="1:39" x14ac:dyDescent="0.35">
      <c r="A72">
        <v>4</v>
      </c>
      <c r="B72">
        <v>2</v>
      </c>
      <c r="C72" t="s">
        <v>155</v>
      </c>
      <c r="D72" t="s">
        <v>115</v>
      </c>
      <c r="E72" s="2">
        <v>0.53472222222222221</v>
      </c>
      <c r="G72" s="13"/>
      <c r="H72" s="2" t="s">
        <v>136</v>
      </c>
      <c r="I72" t="s">
        <v>6</v>
      </c>
      <c r="J72">
        <v>4</v>
      </c>
      <c r="K72" t="s">
        <v>5</v>
      </c>
      <c r="L72" s="14" t="s">
        <v>0</v>
      </c>
      <c r="M72">
        <v>0</v>
      </c>
      <c r="N72">
        <v>0</v>
      </c>
      <c r="O72">
        <v>2</v>
      </c>
      <c r="P72">
        <v>2</v>
      </c>
      <c r="Q72">
        <v>2</v>
      </c>
      <c r="R72">
        <v>5</v>
      </c>
      <c r="S72">
        <v>2</v>
      </c>
      <c r="T72">
        <v>14</v>
      </c>
      <c r="U72">
        <v>4</v>
      </c>
      <c r="V72">
        <v>5</v>
      </c>
      <c r="W72">
        <v>7</v>
      </c>
      <c r="X72">
        <v>11</v>
      </c>
      <c r="Y72">
        <v>6</v>
      </c>
      <c r="Z72">
        <v>15</v>
      </c>
      <c r="AA72">
        <v>8</v>
      </c>
      <c r="AB72">
        <v>3</v>
      </c>
      <c r="AC72" s="18">
        <f>SUMPRODUCT(OG_Data!D$1:S$1, M72:AB72) /SUM(M72:AB72)</f>
        <v>10.825581395348838</v>
      </c>
      <c r="AD72">
        <f t="shared" si="5"/>
        <v>86</v>
      </c>
      <c r="AE72">
        <v>0</v>
      </c>
      <c r="AF72">
        <v>6</v>
      </c>
      <c r="AG72">
        <v>20</v>
      </c>
      <c r="AH72">
        <f>Table3[[#This Row],[Flies_per_Vial]]*Table3[[#This Row],[Vials_Total_UsedInMaze]]</f>
        <v>120</v>
      </c>
      <c r="AI72">
        <f>Table3[[#This Row],[total_Flies]]/Table3[[#This Row],[flies_in]]</f>
        <v>0.71666666666666667</v>
      </c>
      <c r="AJ72"/>
      <c r="AK72" s="31">
        <f t="shared" si="4"/>
        <v>12.833333333333332</v>
      </c>
      <c r="AL72" s="31"/>
      <c r="AM72" s="31"/>
    </row>
    <row r="73" spans="1:39" x14ac:dyDescent="0.35">
      <c r="A73">
        <v>4</v>
      </c>
      <c r="B73">
        <v>2</v>
      </c>
      <c r="C73" t="s">
        <v>155</v>
      </c>
      <c r="D73" s="10" t="s">
        <v>115</v>
      </c>
      <c r="E73" s="2">
        <v>0.53472222222222221</v>
      </c>
      <c r="G73" s="13"/>
      <c r="H73" s="2" t="s">
        <v>136</v>
      </c>
      <c r="I73" t="s">
        <v>6</v>
      </c>
      <c r="J73">
        <v>4</v>
      </c>
      <c r="K73" t="s">
        <v>4</v>
      </c>
      <c r="L73" s="14" t="s">
        <v>3</v>
      </c>
      <c r="M73">
        <v>9</v>
      </c>
      <c r="N73">
        <v>9</v>
      </c>
      <c r="O73">
        <v>11</v>
      </c>
      <c r="P73">
        <v>0</v>
      </c>
      <c r="Q73">
        <v>6</v>
      </c>
      <c r="R73">
        <v>5</v>
      </c>
      <c r="S73">
        <v>2</v>
      </c>
      <c r="T73">
        <v>5</v>
      </c>
      <c r="U73">
        <v>6</v>
      </c>
      <c r="V73">
        <v>2</v>
      </c>
      <c r="W73">
        <v>3</v>
      </c>
      <c r="X73">
        <v>1</v>
      </c>
      <c r="Y73">
        <v>1</v>
      </c>
      <c r="Z73">
        <v>0</v>
      </c>
      <c r="AA73">
        <v>1</v>
      </c>
      <c r="AB73">
        <v>3</v>
      </c>
      <c r="AC73" s="18">
        <f>SUMPRODUCT(OG_Data!D$1:S$1, M73:AB73) /SUM(M73:AB73)</f>
        <v>5.765625</v>
      </c>
      <c r="AD73" s="4">
        <f t="shared" si="5"/>
        <v>64</v>
      </c>
      <c r="AE73">
        <v>0</v>
      </c>
      <c r="AF73">
        <v>6</v>
      </c>
      <c r="AG73">
        <v>20</v>
      </c>
      <c r="AH73">
        <f>Table3[[#This Row],[Flies_per_Vial]]*Table3[[#This Row],[Vials_Total_UsedInMaze]]</f>
        <v>120</v>
      </c>
      <c r="AI73">
        <f>Table3[[#This Row],[total_Flies]]/Table3[[#This Row],[flies_in]]</f>
        <v>0.53333333333333333</v>
      </c>
      <c r="AJ73"/>
      <c r="AK73" s="31">
        <f t="shared" si="4"/>
        <v>12.833333333333332</v>
      </c>
      <c r="AL73" s="31"/>
      <c r="AM73" s="31"/>
    </row>
    <row r="74" spans="1:39" x14ac:dyDescent="0.35">
      <c r="A74">
        <v>4</v>
      </c>
      <c r="B74">
        <v>2</v>
      </c>
      <c r="C74" t="s">
        <v>155</v>
      </c>
      <c r="D74" t="s">
        <v>115</v>
      </c>
      <c r="E74" s="2">
        <v>0.53472222222222221</v>
      </c>
      <c r="G74" s="13"/>
      <c r="H74" s="2" t="s">
        <v>136</v>
      </c>
      <c r="I74" t="s">
        <v>6</v>
      </c>
      <c r="J74">
        <v>4</v>
      </c>
      <c r="K74" t="s">
        <v>2</v>
      </c>
      <c r="L74" s="14" t="s">
        <v>3</v>
      </c>
      <c r="M74">
        <v>14</v>
      </c>
      <c r="N74">
        <v>19</v>
      </c>
      <c r="O74">
        <v>16</v>
      </c>
      <c r="P74">
        <v>8</v>
      </c>
      <c r="Q74">
        <v>7</v>
      </c>
      <c r="R74">
        <v>10</v>
      </c>
      <c r="S74">
        <v>2</v>
      </c>
      <c r="T74">
        <v>5</v>
      </c>
      <c r="U74">
        <v>6</v>
      </c>
      <c r="V74">
        <v>2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 s="18">
        <f>SUMPRODUCT(OG_Data!D$1:S$1, M74:AB74) /SUM(M74:AB74)</f>
        <v>4.1648351648351651</v>
      </c>
      <c r="AD74" s="4">
        <f t="shared" si="5"/>
        <v>91</v>
      </c>
      <c r="AE74">
        <v>0</v>
      </c>
      <c r="AF74">
        <v>6</v>
      </c>
      <c r="AG74">
        <v>20</v>
      </c>
      <c r="AH74">
        <f>Table3[[#This Row],[Flies_per_Vial]]*Table3[[#This Row],[Vials_Total_UsedInMaze]]</f>
        <v>120</v>
      </c>
      <c r="AI74">
        <f>Table3[[#This Row],[total_Flies]]/Table3[[#This Row],[flies_in]]</f>
        <v>0.7583333333333333</v>
      </c>
      <c r="AJ74"/>
      <c r="AK74" s="31">
        <f t="shared" si="4"/>
        <v>12.833333333333332</v>
      </c>
      <c r="AL74" s="31"/>
      <c r="AM74" s="31"/>
    </row>
    <row r="75" spans="1:39" x14ac:dyDescent="0.35">
      <c r="A75">
        <v>4</v>
      </c>
      <c r="B75">
        <v>2</v>
      </c>
      <c r="C75" t="s">
        <v>155</v>
      </c>
      <c r="D75" s="10" t="s">
        <v>115</v>
      </c>
      <c r="E75" s="2">
        <v>0.53472222222222221</v>
      </c>
      <c r="G75" s="13"/>
      <c r="H75" s="2" t="s">
        <v>136</v>
      </c>
      <c r="I75" t="s">
        <v>6</v>
      </c>
      <c r="J75">
        <v>4</v>
      </c>
      <c r="K75" t="s">
        <v>1</v>
      </c>
      <c r="L75" s="14" t="s">
        <v>0</v>
      </c>
      <c r="M75">
        <v>10</v>
      </c>
      <c r="N75">
        <v>2</v>
      </c>
      <c r="O75">
        <v>3</v>
      </c>
      <c r="P75">
        <v>2</v>
      </c>
      <c r="Q75">
        <v>9</v>
      </c>
      <c r="R75">
        <v>11</v>
      </c>
      <c r="S75">
        <v>6</v>
      </c>
      <c r="T75">
        <v>11</v>
      </c>
      <c r="U75">
        <v>8</v>
      </c>
      <c r="V75">
        <v>6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 s="18">
        <f>SUMPRODUCT(OG_Data!D$1:S$1, M75:AB75) /SUM(M75:AB75)</f>
        <v>6.1142857142857139</v>
      </c>
      <c r="AD75" s="4">
        <f t="shared" si="5"/>
        <v>70</v>
      </c>
      <c r="AE75">
        <v>0</v>
      </c>
      <c r="AF75">
        <v>6</v>
      </c>
      <c r="AG75">
        <v>20</v>
      </c>
      <c r="AH75">
        <f>Table3[[#This Row],[Flies_per_Vial]]*Table3[[#This Row],[Vials_Total_UsedInMaze]]</f>
        <v>120</v>
      </c>
      <c r="AI75">
        <f>Table3[[#This Row],[total_Flies]]/Table3[[#This Row],[flies_in]]</f>
        <v>0.58333333333333337</v>
      </c>
      <c r="AJ75"/>
      <c r="AK75" s="31">
        <f t="shared" si="4"/>
        <v>12.833333333333332</v>
      </c>
      <c r="AL75" s="31"/>
      <c r="AM75" s="31"/>
    </row>
    <row r="76" spans="1:39" s="4" customFormat="1" x14ac:dyDescent="0.35">
      <c r="A76" s="4">
        <v>5</v>
      </c>
      <c r="B76" s="4">
        <v>1</v>
      </c>
      <c r="C76" s="4" t="s">
        <v>154</v>
      </c>
      <c r="D76" s="4" t="s">
        <v>116</v>
      </c>
      <c r="E76" s="5">
        <v>0.375</v>
      </c>
      <c r="F76" s="5">
        <v>0.46597222222222223</v>
      </c>
      <c r="G76" s="12">
        <v>9.0972222222222232E-2</v>
      </c>
      <c r="H76" s="5" t="s">
        <v>136</v>
      </c>
      <c r="I76" s="4" t="s">
        <v>6</v>
      </c>
      <c r="J76" s="4">
        <v>2</v>
      </c>
      <c r="K76" s="4" t="s">
        <v>5</v>
      </c>
      <c r="L76" s="15" t="s">
        <v>3</v>
      </c>
      <c r="M76" s="4">
        <v>0</v>
      </c>
      <c r="N76" s="4">
        <v>0</v>
      </c>
      <c r="O76" s="4">
        <v>0</v>
      </c>
      <c r="P76" s="4">
        <v>1</v>
      </c>
      <c r="Q76" s="4">
        <v>3</v>
      </c>
      <c r="R76" s="4">
        <v>1</v>
      </c>
      <c r="S76" s="4">
        <v>5</v>
      </c>
      <c r="T76" s="4">
        <v>6</v>
      </c>
      <c r="U76" s="4">
        <v>4</v>
      </c>
      <c r="V76" s="4">
        <v>3</v>
      </c>
      <c r="W76" s="4">
        <v>13</v>
      </c>
      <c r="X76" s="4">
        <v>10</v>
      </c>
      <c r="Y76" s="4">
        <v>4</v>
      </c>
      <c r="Z76" s="4">
        <v>8</v>
      </c>
      <c r="AA76" s="4">
        <v>17</v>
      </c>
      <c r="AB76" s="4">
        <v>4</v>
      </c>
      <c r="AC76" s="17">
        <f>SUMPRODUCT(OG_Data!D$1:S$1, M76:AB76) /SUM(M76:AB76)</f>
        <v>11.645569620253164</v>
      </c>
      <c r="AD76" s="4">
        <f t="shared" si="5"/>
        <v>79</v>
      </c>
      <c r="AE76" s="4">
        <v>0</v>
      </c>
      <c r="AF76" s="4">
        <v>6</v>
      </c>
      <c r="AG76">
        <v>20</v>
      </c>
      <c r="AH76">
        <f>Table3[[#This Row],[Flies_per_Vial]]*Table3[[#This Row],[Vials_Total_UsedInMaze]]</f>
        <v>120</v>
      </c>
      <c r="AI76">
        <f>Table3[[#This Row],[total_Flies]]/Table3[[#This Row],[flies_in]]</f>
        <v>0.65833333333333333</v>
      </c>
      <c r="AJ76"/>
      <c r="AK76" s="29">
        <f t="shared" si="4"/>
        <v>9</v>
      </c>
      <c r="AL76" s="29">
        <f t="shared" ref="AL76:AL107" si="6">24*F76</f>
        <v>11.183333333333334</v>
      </c>
      <c r="AM76" s="29">
        <f>Table3[[#This Row],[end_time_num]]-Table3[[#This Row],[start_time_num]]</f>
        <v>2.1833333333333336</v>
      </c>
    </row>
    <row r="77" spans="1:39" s="4" customFormat="1" x14ac:dyDescent="0.35">
      <c r="A77" s="4">
        <v>5</v>
      </c>
      <c r="B77" s="4">
        <v>1</v>
      </c>
      <c r="C77" s="4" t="s">
        <v>154</v>
      </c>
      <c r="D77" s="4" t="s">
        <v>116</v>
      </c>
      <c r="E77" s="5">
        <v>0.375</v>
      </c>
      <c r="F77" s="5">
        <v>0.46597222222222223</v>
      </c>
      <c r="G77" s="12">
        <v>9.0972222222222232E-2</v>
      </c>
      <c r="H77" s="5" t="s">
        <v>136</v>
      </c>
      <c r="I77" s="4" t="s">
        <v>6</v>
      </c>
      <c r="J77" s="4">
        <v>2</v>
      </c>
      <c r="K77" s="4" t="s">
        <v>4</v>
      </c>
      <c r="L77" s="15" t="s">
        <v>3</v>
      </c>
      <c r="M77" s="4">
        <v>1</v>
      </c>
      <c r="N77" s="4">
        <v>3</v>
      </c>
      <c r="O77" s="4">
        <v>0</v>
      </c>
      <c r="P77" s="4">
        <v>0</v>
      </c>
      <c r="Q77" s="4">
        <v>4</v>
      </c>
      <c r="R77" s="4">
        <v>0</v>
      </c>
      <c r="S77" s="4">
        <v>14</v>
      </c>
      <c r="T77" s="4">
        <v>10</v>
      </c>
      <c r="U77" s="4">
        <v>4</v>
      </c>
      <c r="V77" s="4">
        <v>3</v>
      </c>
      <c r="W77" s="4">
        <v>6</v>
      </c>
      <c r="X77" s="4">
        <v>7</v>
      </c>
      <c r="Y77" s="4">
        <v>3</v>
      </c>
      <c r="Z77" s="4">
        <v>4</v>
      </c>
      <c r="AA77" s="4">
        <v>5</v>
      </c>
      <c r="AB77" s="4">
        <v>9</v>
      </c>
      <c r="AC77" s="17">
        <f>SUMPRODUCT(OG_Data!D$1:S$1, M77:AB77) /SUM(M77:AB77)</f>
        <v>10.068493150684931</v>
      </c>
      <c r="AD77" s="4">
        <f t="shared" si="5"/>
        <v>73</v>
      </c>
      <c r="AE77" s="4">
        <v>0</v>
      </c>
      <c r="AF77" s="4">
        <v>6</v>
      </c>
      <c r="AG77">
        <v>20</v>
      </c>
      <c r="AH77">
        <f>Table3[[#This Row],[Flies_per_Vial]]*Table3[[#This Row],[Vials_Total_UsedInMaze]]</f>
        <v>120</v>
      </c>
      <c r="AI77">
        <f>Table3[[#This Row],[total_Flies]]/Table3[[#This Row],[flies_in]]</f>
        <v>0.60833333333333328</v>
      </c>
      <c r="AJ77"/>
      <c r="AK77" s="29">
        <f t="shared" si="4"/>
        <v>9</v>
      </c>
      <c r="AL77" s="29">
        <f t="shared" si="6"/>
        <v>11.183333333333334</v>
      </c>
      <c r="AM77" s="29">
        <f>Table3[[#This Row],[end_time_num]]-Table3[[#This Row],[start_time_num]]</f>
        <v>2.1833333333333336</v>
      </c>
    </row>
    <row r="78" spans="1:39" s="4" customFormat="1" x14ac:dyDescent="0.35">
      <c r="A78" s="4">
        <v>5</v>
      </c>
      <c r="B78" s="4">
        <v>1</v>
      </c>
      <c r="C78" s="4" t="s">
        <v>154</v>
      </c>
      <c r="D78" s="4" t="s">
        <v>116</v>
      </c>
      <c r="E78" s="5">
        <v>0.375</v>
      </c>
      <c r="F78" s="5">
        <v>0.46597222222222201</v>
      </c>
      <c r="G78" s="12">
        <v>9.097222222222201E-2</v>
      </c>
      <c r="H78" s="5" t="s">
        <v>136</v>
      </c>
      <c r="I78" s="4" t="s">
        <v>6</v>
      </c>
      <c r="J78" s="4">
        <v>2</v>
      </c>
      <c r="K78" s="4" t="s">
        <v>2</v>
      </c>
      <c r="L78" s="15" t="s">
        <v>0</v>
      </c>
      <c r="M78" s="4">
        <v>2</v>
      </c>
      <c r="N78" s="4">
        <v>7</v>
      </c>
      <c r="O78" s="4">
        <v>10</v>
      </c>
      <c r="P78" s="4">
        <v>6</v>
      </c>
      <c r="Q78" s="4">
        <v>7</v>
      </c>
      <c r="R78" s="4">
        <v>10</v>
      </c>
      <c r="S78" s="4">
        <v>1</v>
      </c>
      <c r="T78" s="4">
        <v>15</v>
      </c>
      <c r="U78" s="4">
        <v>12</v>
      </c>
      <c r="V78" s="4">
        <v>0</v>
      </c>
      <c r="W78" s="4">
        <v>6</v>
      </c>
      <c r="X78" s="4">
        <v>5</v>
      </c>
      <c r="Y78" s="4">
        <v>1</v>
      </c>
      <c r="Z78" s="4">
        <v>2</v>
      </c>
      <c r="AA78" s="4">
        <v>0</v>
      </c>
      <c r="AB78" s="4">
        <v>0</v>
      </c>
      <c r="AC78" s="17">
        <f>SUMPRODUCT(OG_Data!D$1:S$1, M78:AB78) /SUM(M78:AB78)</f>
        <v>6.75</v>
      </c>
      <c r="AD78" s="4">
        <f t="shared" si="5"/>
        <v>84</v>
      </c>
      <c r="AE78" s="4">
        <v>1</v>
      </c>
      <c r="AF78" s="4">
        <v>6</v>
      </c>
      <c r="AG78">
        <v>20</v>
      </c>
      <c r="AH78">
        <f>Table3[[#This Row],[Flies_per_Vial]]*Table3[[#This Row],[Vials_Total_UsedInMaze]]</f>
        <v>120</v>
      </c>
      <c r="AI78">
        <f>Table3[[#This Row],[total_Flies]]/Table3[[#This Row],[flies_in]]</f>
        <v>0.7</v>
      </c>
      <c r="AJ78"/>
      <c r="AK78" s="29">
        <f t="shared" si="4"/>
        <v>9</v>
      </c>
      <c r="AL78" s="29">
        <f t="shared" si="6"/>
        <v>11.183333333333328</v>
      </c>
      <c r="AM78" s="29">
        <f>Table3[[#This Row],[end_time_num]]-Table3[[#This Row],[start_time_num]]</f>
        <v>2.1833333333333282</v>
      </c>
    </row>
    <row r="79" spans="1:39" s="4" customFormat="1" x14ac:dyDescent="0.35">
      <c r="A79" s="4">
        <v>5</v>
      </c>
      <c r="B79" s="4">
        <v>1</v>
      </c>
      <c r="C79" s="4" t="s">
        <v>154</v>
      </c>
      <c r="D79" s="4" t="s">
        <v>116</v>
      </c>
      <c r="E79" s="5">
        <v>0.375</v>
      </c>
      <c r="F79" s="5">
        <v>0.46597222222222201</v>
      </c>
      <c r="G79" s="12">
        <v>9.097222222222201E-2</v>
      </c>
      <c r="H79" s="5" t="s">
        <v>136</v>
      </c>
      <c r="I79" s="4" t="s">
        <v>6</v>
      </c>
      <c r="J79" s="4">
        <v>2</v>
      </c>
      <c r="K79" s="4" t="s">
        <v>1</v>
      </c>
      <c r="L79" s="15" t="s">
        <v>0</v>
      </c>
      <c r="M79" s="4">
        <v>0</v>
      </c>
      <c r="N79" s="4">
        <v>6</v>
      </c>
      <c r="O79" s="4">
        <v>1</v>
      </c>
      <c r="P79" s="4">
        <v>4</v>
      </c>
      <c r="Q79" s="4">
        <v>8</v>
      </c>
      <c r="R79" s="4">
        <v>1</v>
      </c>
      <c r="S79" s="4">
        <v>5</v>
      </c>
      <c r="T79" s="4">
        <v>14</v>
      </c>
      <c r="U79" s="4">
        <v>7</v>
      </c>
      <c r="V79" s="4">
        <v>19</v>
      </c>
      <c r="W79" s="4">
        <v>0</v>
      </c>
      <c r="X79" s="4">
        <v>1</v>
      </c>
      <c r="Y79" s="4">
        <v>1</v>
      </c>
      <c r="Z79" s="4">
        <v>2</v>
      </c>
      <c r="AA79" s="4">
        <v>2</v>
      </c>
      <c r="AB79" s="4">
        <v>0</v>
      </c>
      <c r="AC79" s="17">
        <f>SUMPRODUCT(OG_Data!D$1:S$1, M79:AB79) /SUM(M79:AB79)</f>
        <v>7.887323943661972</v>
      </c>
      <c r="AD79" s="4">
        <f t="shared" si="5"/>
        <v>71</v>
      </c>
      <c r="AE79" s="4">
        <v>0</v>
      </c>
      <c r="AF79" s="4">
        <v>6</v>
      </c>
      <c r="AG79">
        <v>20</v>
      </c>
      <c r="AH79">
        <f>Table3[[#This Row],[Flies_per_Vial]]*Table3[[#This Row],[Vials_Total_UsedInMaze]]</f>
        <v>120</v>
      </c>
      <c r="AI79">
        <f>Table3[[#This Row],[total_Flies]]/Table3[[#This Row],[flies_in]]</f>
        <v>0.59166666666666667</v>
      </c>
      <c r="AJ79"/>
      <c r="AK79" s="29">
        <f t="shared" si="4"/>
        <v>9</v>
      </c>
      <c r="AL79" s="29">
        <f t="shared" si="6"/>
        <v>11.183333333333328</v>
      </c>
      <c r="AM79" s="29">
        <f>Table3[[#This Row],[end_time_num]]-Table3[[#This Row],[start_time_num]]</f>
        <v>2.1833333333333282</v>
      </c>
    </row>
    <row r="80" spans="1:39" s="4" customFormat="1" x14ac:dyDescent="0.35">
      <c r="A80" s="4">
        <v>5</v>
      </c>
      <c r="B80" s="4">
        <v>1</v>
      </c>
      <c r="C80" s="4" t="s">
        <v>155</v>
      </c>
      <c r="D80" s="4" t="s">
        <v>116</v>
      </c>
      <c r="E80" s="5">
        <v>0.51041666666666663</v>
      </c>
      <c r="F80" s="5">
        <v>0.58333333333333337</v>
      </c>
      <c r="G80" s="12">
        <v>7.2916666666666741E-2</v>
      </c>
      <c r="H80" s="5" t="s">
        <v>136</v>
      </c>
      <c r="I80" s="4" t="s">
        <v>6</v>
      </c>
      <c r="J80" s="4">
        <v>1</v>
      </c>
      <c r="K80" s="4" t="s">
        <v>5</v>
      </c>
      <c r="L80" s="15" t="s">
        <v>3</v>
      </c>
      <c r="M80" s="4">
        <v>0</v>
      </c>
      <c r="N80" s="4">
        <v>1</v>
      </c>
      <c r="O80" s="4">
        <v>0</v>
      </c>
      <c r="P80" s="4">
        <v>2</v>
      </c>
      <c r="Q80" s="4">
        <v>4</v>
      </c>
      <c r="R80" s="4">
        <v>9</v>
      </c>
      <c r="S80" s="4">
        <v>10</v>
      </c>
      <c r="T80" s="4">
        <v>7</v>
      </c>
      <c r="U80" s="4">
        <v>4</v>
      </c>
      <c r="V80" s="4">
        <v>8</v>
      </c>
      <c r="W80" s="4">
        <v>11</v>
      </c>
      <c r="X80" s="4">
        <v>5</v>
      </c>
      <c r="Y80" s="4">
        <v>4</v>
      </c>
      <c r="Z80" s="4">
        <v>1</v>
      </c>
      <c r="AA80" s="4">
        <v>3</v>
      </c>
      <c r="AB80" s="4">
        <v>1</v>
      </c>
      <c r="AC80" s="17">
        <f>SUMPRODUCT(OG_Data!D$1:S$1, M80:AB80) /SUM(M80:AB80)</f>
        <v>9.0571428571428569</v>
      </c>
      <c r="AD80" s="4">
        <f t="shared" si="5"/>
        <v>70</v>
      </c>
      <c r="AE80" s="4">
        <v>0</v>
      </c>
      <c r="AF80" s="4">
        <v>6</v>
      </c>
      <c r="AG80">
        <v>20</v>
      </c>
      <c r="AH80">
        <f>Table3[[#This Row],[Flies_per_Vial]]*Table3[[#This Row],[Vials_Total_UsedInMaze]]</f>
        <v>120</v>
      </c>
      <c r="AI80">
        <f>Table3[[#This Row],[total_Flies]]/Table3[[#This Row],[flies_in]]</f>
        <v>0.58333333333333337</v>
      </c>
      <c r="AJ80"/>
      <c r="AK80" s="29">
        <f t="shared" si="4"/>
        <v>12.25</v>
      </c>
      <c r="AL80" s="29">
        <f t="shared" si="6"/>
        <v>14</v>
      </c>
      <c r="AM80" s="29">
        <f>Table3[[#This Row],[end_time_num]]-Table3[[#This Row],[start_time_num]]</f>
        <v>1.75</v>
      </c>
    </row>
    <row r="81" spans="1:39" s="4" customFormat="1" x14ac:dyDescent="0.35">
      <c r="A81" s="4">
        <v>5</v>
      </c>
      <c r="B81" s="4">
        <v>1</v>
      </c>
      <c r="C81" s="4" t="s">
        <v>155</v>
      </c>
      <c r="D81" s="4" t="s">
        <v>116</v>
      </c>
      <c r="E81" s="5">
        <v>0.51041666666666663</v>
      </c>
      <c r="F81" s="5">
        <v>0.59027777777777779</v>
      </c>
      <c r="G81" s="12">
        <v>7.986111111111116E-2</v>
      </c>
      <c r="H81" s="5" t="s">
        <v>136</v>
      </c>
      <c r="I81" s="4" t="s">
        <v>6</v>
      </c>
      <c r="J81" s="4">
        <v>1</v>
      </c>
      <c r="K81" s="4" t="s">
        <v>4</v>
      </c>
      <c r="L81" s="15" t="s">
        <v>0</v>
      </c>
      <c r="M81" s="4">
        <v>1</v>
      </c>
      <c r="N81" s="4">
        <v>1</v>
      </c>
      <c r="O81" s="4">
        <v>5</v>
      </c>
      <c r="P81" s="4">
        <v>0</v>
      </c>
      <c r="Q81" s="4">
        <v>6</v>
      </c>
      <c r="R81" s="4">
        <v>8</v>
      </c>
      <c r="S81" s="4">
        <v>17</v>
      </c>
      <c r="T81" s="4">
        <v>14</v>
      </c>
      <c r="U81" s="4">
        <v>2</v>
      </c>
      <c r="V81" s="4">
        <v>3</v>
      </c>
      <c r="W81" s="4">
        <v>4</v>
      </c>
      <c r="X81" s="4">
        <v>2</v>
      </c>
      <c r="Y81" s="4">
        <v>3</v>
      </c>
      <c r="Z81" s="4">
        <v>1</v>
      </c>
      <c r="AA81" s="4">
        <v>3</v>
      </c>
      <c r="AB81" s="4">
        <v>4</v>
      </c>
      <c r="AC81" s="17">
        <f>SUMPRODUCT(OG_Data!D$1:S$1, M81:AB81) /SUM(M81:AB81)</f>
        <v>8.1756756756756754</v>
      </c>
      <c r="AD81" s="4">
        <f t="shared" si="5"/>
        <v>74</v>
      </c>
      <c r="AE81" s="4">
        <v>1</v>
      </c>
      <c r="AF81" s="4">
        <v>6</v>
      </c>
      <c r="AG81">
        <v>20</v>
      </c>
      <c r="AH81">
        <f>Table3[[#This Row],[Flies_per_Vial]]*Table3[[#This Row],[Vials_Total_UsedInMaze]]</f>
        <v>120</v>
      </c>
      <c r="AI81">
        <f>Table3[[#This Row],[total_Flies]]/Table3[[#This Row],[flies_in]]</f>
        <v>0.6166666666666667</v>
      </c>
      <c r="AJ81"/>
      <c r="AK81" s="29">
        <f t="shared" si="4"/>
        <v>12.25</v>
      </c>
      <c r="AL81" s="29">
        <f t="shared" si="6"/>
        <v>14.166666666666668</v>
      </c>
      <c r="AM81" s="29">
        <f>Table3[[#This Row],[end_time_num]]-Table3[[#This Row],[start_time_num]]</f>
        <v>1.9166666666666679</v>
      </c>
    </row>
    <row r="82" spans="1:39" s="4" customFormat="1" x14ac:dyDescent="0.35">
      <c r="A82" s="4">
        <v>5</v>
      </c>
      <c r="B82" s="4">
        <v>1</v>
      </c>
      <c r="C82" s="4" t="s">
        <v>155</v>
      </c>
      <c r="D82" s="4" t="s">
        <v>116</v>
      </c>
      <c r="E82" s="5">
        <v>0.51041666666666663</v>
      </c>
      <c r="F82" s="5">
        <v>0.59652777777777777</v>
      </c>
      <c r="G82" s="12">
        <v>8.6111111111111138E-2</v>
      </c>
      <c r="H82" s="5" t="s">
        <v>136</v>
      </c>
      <c r="I82" s="4" t="s">
        <v>6</v>
      </c>
      <c r="J82" s="4">
        <v>1</v>
      </c>
      <c r="K82" s="4" t="s">
        <v>2</v>
      </c>
      <c r="L82" s="15" t="s">
        <v>0</v>
      </c>
      <c r="M82" s="4">
        <v>15</v>
      </c>
      <c r="N82" s="4">
        <v>26</v>
      </c>
      <c r="O82" s="4">
        <v>24</v>
      </c>
      <c r="P82" s="4">
        <v>13</v>
      </c>
      <c r="Q82" s="4">
        <v>14</v>
      </c>
      <c r="R82" s="4">
        <v>9</v>
      </c>
      <c r="S82" s="4">
        <v>4</v>
      </c>
      <c r="T82" s="4">
        <v>3</v>
      </c>
      <c r="U82" s="4">
        <v>0</v>
      </c>
      <c r="V82" s="4">
        <v>3</v>
      </c>
      <c r="W82" s="4">
        <v>1</v>
      </c>
      <c r="X82" s="4">
        <v>0</v>
      </c>
      <c r="Y82" s="4">
        <v>1</v>
      </c>
      <c r="Z82" s="4">
        <v>1</v>
      </c>
      <c r="AA82" s="4">
        <v>1</v>
      </c>
      <c r="AB82" s="4">
        <v>0</v>
      </c>
      <c r="AC82" s="17">
        <f>SUMPRODUCT(OG_Data!D$1:S$1, M82:AB82) /SUM(M82:AB82)</f>
        <v>3.9130434782608696</v>
      </c>
      <c r="AD82" s="4">
        <f t="shared" si="5"/>
        <v>115</v>
      </c>
      <c r="AE82" s="4">
        <v>1</v>
      </c>
      <c r="AF82" s="4">
        <v>6</v>
      </c>
      <c r="AG82">
        <v>20</v>
      </c>
      <c r="AH82">
        <f>Table3[[#This Row],[Flies_per_Vial]]*Table3[[#This Row],[Vials_Total_UsedInMaze]]</f>
        <v>120</v>
      </c>
      <c r="AI82">
        <f>Table3[[#This Row],[total_Flies]]/Table3[[#This Row],[flies_in]]</f>
        <v>0.95833333333333337</v>
      </c>
      <c r="AJ82"/>
      <c r="AK82" s="29">
        <f t="shared" si="4"/>
        <v>12.25</v>
      </c>
      <c r="AL82" s="29">
        <f t="shared" si="6"/>
        <v>14.316666666666666</v>
      </c>
      <c r="AM82" s="29">
        <f>Table3[[#This Row],[end_time_num]]-Table3[[#This Row],[start_time_num]]</f>
        <v>2.0666666666666664</v>
      </c>
    </row>
    <row r="83" spans="1:39" s="4" customFormat="1" x14ac:dyDescent="0.35">
      <c r="A83" s="4">
        <v>5</v>
      </c>
      <c r="B83" s="4">
        <v>1</v>
      </c>
      <c r="C83" s="4" t="s">
        <v>155</v>
      </c>
      <c r="D83" s="4" t="s">
        <v>116</v>
      </c>
      <c r="E83" s="5">
        <v>0.51041666666666663</v>
      </c>
      <c r="F83" s="5">
        <v>0.6069444444444444</v>
      </c>
      <c r="G83" s="12">
        <v>9.6527777777777768E-2</v>
      </c>
      <c r="H83" s="5" t="s">
        <v>136</v>
      </c>
      <c r="I83" s="4" t="s">
        <v>6</v>
      </c>
      <c r="J83" s="4">
        <v>1</v>
      </c>
      <c r="K83" s="4" t="s">
        <v>1</v>
      </c>
      <c r="L83" s="15" t="s">
        <v>3</v>
      </c>
      <c r="M83" s="4">
        <v>2</v>
      </c>
      <c r="N83" s="4">
        <v>8</v>
      </c>
      <c r="O83" s="4">
        <v>8</v>
      </c>
      <c r="P83" s="4">
        <v>7</v>
      </c>
      <c r="Q83" s="4">
        <v>8</v>
      </c>
      <c r="R83" s="4">
        <v>6</v>
      </c>
      <c r="S83" s="4">
        <v>10</v>
      </c>
      <c r="T83" s="4">
        <v>10</v>
      </c>
      <c r="U83" s="4">
        <v>16</v>
      </c>
      <c r="V83" s="4">
        <v>15</v>
      </c>
      <c r="W83" s="4">
        <v>6</v>
      </c>
      <c r="X83" s="4">
        <v>4</v>
      </c>
      <c r="Y83" s="4">
        <v>1</v>
      </c>
      <c r="Z83" s="4">
        <v>3</v>
      </c>
      <c r="AA83" s="4">
        <v>2</v>
      </c>
      <c r="AB83" s="4">
        <v>0</v>
      </c>
      <c r="AC83" s="17">
        <f>SUMPRODUCT(OG_Data!D$1:S$1, M83:AB83) /SUM(M83:AB83)</f>
        <v>7.4433962264150946</v>
      </c>
      <c r="AD83" s="4">
        <f t="shared" si="5"/>
        <v>106</v>
      </c>
      <c r="AE83" s="4">
        <v>0</v>
      </c>
      <c r="AF83" s="4">
        <v>6</v>
      </c>
      <c r="AG83">
        <v>20</v>
      </c>
      <c r="AH83">
        <f>Table3[[#This Row],[Flies_per_Vial]]*Table3[[#This Row],[Vials_Total_UsedInMaze]]</f>
        <v>120</v>
      </c>
      <c r="AI83">
        <f>Table3[[#This Row],[total_Flies]]/Table3[[#This Row],[flies_in]]</f>
        <v>0.8833333333333333</v>
      </c>
      <c r="AJ83"/>
      <c r="AK83" s="29">
        <f t="shared" si="4"/>
        <v>12.25</v>
      </c>
      <c r="AL83" s="29">
        <f t="shared" si="6"/>
        <v>14.566666666666666</v>
      </c>
      <c r="AM83" s="29">
        <f>Table3[[#This Row],[end_time_num]]-Table3[[#This Row],[start_time_num]]</f>
        <v>2.3166666666666664</v>
      </c>
    </row>
    <row r="84" spans="1:39" s="4" customFormat="1" x14ac:dyDescent="0.35">
      <c r="A84" s="4">
        <v>5</v>
      </c>
      <c r="B84" s="4">
        <v>2</v>
      </c>
      <c r="C84" s="4" t="s">
        <v>154</v>
      </c>
      <c r="D84" s="4" t="s">
        <v>117</v>
      </c>
      <c r="E84" s="5">
        <v>0.3888888888888889</v>
      </c>
      <c r="F84" s="5">
        <v>0.46041666666666664</v>
      </c>
      <c r="G84" s="12">
        <v>7.1527777777777746E-2</v>
      </c>
      <c r="H84" s="5" t="s">
        <v>136</v>
      </c>
      <c r="I84" s="4" t="s">
        <v>6</v>
      </c>
      <c r="J84" s="4">
        <v>4</v>
      </c>
      <c r="K84" s="4" t="s">
        <v>5</v>
      </c>
      <c r="L84" s="15" t="s">
        <v>3</v>
      </c>
      <c r="M84" s="4">
        <v>0</v>
      </c>
      <c r="N84" s="4">
        <v>0</v>
      </c>
      <c r="O84" s="4">
        <v>4</v>
      </c>
      <c r="P84" s="4">
        <v>2</v>
      </c>
      <c r="Q84" s="4">
        <v>2</v>
      </c>
      <c r="R84" s="4">
        <v>3</v>
      </c>
      <c r="S84" s="4">
        <v>3</v>
      </c>
      <c r="T84" s="4">
        <v>9</v>
      </c>
      <c r="U84" s="4">
        <v>6</v>
      </c>
      <c r="V84" s="4">
        <v>7</v>
      </c>
      <c r="W84" s="4">
        <v>12</v>
      </c>
      <c r="X84" s="4">
        <v>5</v>
      </c>
      <c r="Y84" s="4">
        <v>4</v>
      </c>
      <c r="Z84" s="4">
        <v>1</v>
      </c>
      <c r="AA84" s="4">
        <v>10</v>
      </c>
      <c r="AB84" s="4">
        <v>4</v>
      </c>
      <c r="AC84" s="17">
        <f>SUMPRODUCT(OG_Data!D$1:S$1, M84:AB84) /SUM(M84:AB84)</f>
        <v>10.236111111111111</v>
      </c>
      <c r="AD84" s="4">
        <f t="shared" si="5"/>
        <v>72</v>
      </c>
      <c r="AE84" s="4">
        <v>0</v>
      </c>
      <c r="AF84" s="4">
        <v>6</v>
      </c>
      <c r="AG84">
        <v>20</v>
      </c>
      <c r="AH84">
        <f>Table3[[#This Row],[Flies_per_Vial]]*Table3[[#This Row],[Vials_Total_UsedInMaze]]</f>
        <v>120</v>
      </c>
      <c r="AI84">
        <f>Table3[[#This Row],[total_Flies]]/Table3[[#This Row],[flies_in]]</f>
        <v>0.6</v>
      </c>
      <c r="AJ84"/>
      <c r="AK84" s="29">
        <f t="shared" si="4"/>
        <v>9.3333333333333339</v>
      </c>
      <c r="AL84" s="29">
        <f t="shared" si="6"/>
        <v>11.049999999999999</v>
      </c>
      <c r="AM84" s="29">
        <f>Table3[[#This Row],[end_time_num]]-Table3[[#This Row],[start_time_num]]</f>
        <v>1.716666666666665</v>
      </c>
    </row>
    <row r="85" spans="1:39" s="4" customFormat="1" x14ac:dyDescent="0.35">
      <c r="A85" s="4">
        <v>5</v>
      </c>
      <c r="B85" s="4">
        <v>2</v>
      </c>
      <c r="C85" s="4" t="s">
        <v>154</v>
      </c>
      <c r="D85" s="4" t="s">
        <v>117</v>
      </c>
      <c r="E85" s="5">
        <v>0.3888888888888889</v>
      </c>
      <c r="F85" s="5">
        <v>0.46597222222222223</v>
      </c>
      <c r="G85" s="12">
        <v>7.7083333333333337E-2</v>
      </c>
      <c r="H85" s="5" t="s">
        <v>136</v>
      </c>
      <c r="I85" s="4" t="s">
        <v>6</v>
      </c>
      <c r="J85" s="4">
        <v>4</v>
      </c>
      <c r="K85" s="4" t="s">
        <v>4</v>
      </c>
      <c r="L85" s="15" t="s">
        <v>0</v>
      </c>
      <c r="M85" s="4">
        <v>3</v>
      </c>
      <c r="N85" s="4">
        <v>13</v>
      </c>
      <c r="O85" s="4">
        <v>3</v>
      </c>
      <c r="P85" s="4">
        <v>3</v>
      </c>
      <c r="Q85" s="4">
        <v>6</v>
      </c>
      <c r="R85" s="4">
        <v>1</v>
      </c>
      <c r="S85" s="4">
        <v>10</v>
      </c>
      <c r="T85" s="4">
        <v>15</v>
      </c>
      <c r="U85" s="4">
        <v>6</v>
      </c>
      <c r="V85" s="4">
        <v>3</v>
      </c>
      <c r="W85" s="4">
        <v>8</v>
      </c>
      <c r="X85" s="4">
        <v>7</v>
      </c>
      <c r="Y85" s="4">
        <v>3</v>
      </c>
      <c r="Z85" s="4">
        <v>5</v>
      </c>
      <c r="AA85" s="4">
        <v>6</v>
      </c>
      <c r="AB85" s="4">
        <v>2</v>
      </c>
      <c r="AC85" s="17">
        <f>SUMPRODUCT(OG_Data!D$1:S$1, M85:AB85) /SUM(M85:AB85)</f>
        <v>8.1170212765957448</v>
      </c>
      <c r="AD85" s="4">
        <f t="shared" si="5"/>
        <v>94</v>
      </c>
      <c r="AE85" s="4">
        <v>1</v>
      </c>
      <c r="AF85" s="4">
        <v>6</v>
      </c>
      <c r="AG85">
        <v>20</v>
      </c>
      <c r="AH85">
        <f>Table3[[#This Row],[Flies_per_Vial]]*Table3[[#This Row],[Vials_Total_UsedInMaze]]</f>
        <v>120</v>
      </c>
      <c r="AI85">
        <f>Table3[[#This Row],[total_Flies]]/Table3[[#This Row],[flies_in]]</f>
        <v>0.78333333333333333</v>
      </c>
      <c r="AJ85"/>
      <c r="AK85" s="29">
        <f t="shared" si="4"/>
        <v>9.3333333333333339</v>
      </c>
      <c r="AL85" s="29">
        <f t="shared" si="6"/>
        <v>11.183333333333334</v>
      </c>
      <c r="AM85" s="29">
        <f>Table3[[#This Row],[end_time_num]]-Table3[[#This Row],[start_time_num]]</f>
        <v>1.8499999999999996</v>
      </c>
    </row>
    <row r="86" spans="1:39" s="4" customFormat="1" x14ac:dyDescent="0.35">
      <c r="A86" s="4">
        <v>5</v>
      </c>
      <c r="B86" s="4">
        <v>2</v>
      </c>
      <c r="C86" s="4" t="s">
        <v>154</v>
      </c>
      <c r="D86" s="4" t="s">
        <v>117</v>
      </c>
      <c r="E86" s="5">
        <v>0.3888888888888889</v>
      </c>
      <c r="F86" s="5">
        <v>0.46944444444444444</v>
      </c>
      <c r="G86" s="12">
        <v>8.0555555555555547E-2</v>
      </c>
      <c r="H86" s="5" t="s">
        <v>136</v>
      </c>
      <c r="I86" s="4" t="s">
        <v>6</v>
      </c>
      <c r="J86" s="4">
        <v>4</v>
      </c>
      <c r="K86" s="4" t="s">
        <v>2</v>
      </c>
      <c r="L86" s="15" t="s">
        <v>0</v>
      </c>
      <c r="M86" s="4">
        <v>4</v>
      </c>
      <c r="N86" s="4">
        <v>10</v>
      </c>
      <c r="O86" s="4">
        <v>12</v>
      </c>
      <c r="P86" s="4">
        <v>4</v>
      </c>
      <c r="Q86" s="4">
        <v>5</v>
      </c>
      <c r="R86" s="4">
        <v>7</v>
      </c>
      <c r="S86" s="4">
        <v>6</v>
      </c>
      <c r="T86" s="4">
        <v>12</v>
      </c>
      <c r="U86" s="4">
        <v>2</v>
      </c>
      <c r="V86" s="4">
        <v>5</v>
      </c>
      <c r="W86" s="4">
        <v>10</v>
      </c>
      <c r="X86" s="4">
        <v>5</v>
      </c>
      <c r="Y86" s="4">
        <v>2</v>
      </c>
      <c r="Z86" s="4">
        <v>0</v>
      </c>
      <c r="AA86" s="4">
        <v>2</v>
      </c>
      <c r="AB86" s="4">
        <v>0</v>
      </c>
      <c r="AC86" s="17">
        <f>SUMPRODUCT(OG_Data!D$1:S$1, M86:AB86) /SUM(M86:AB86)</f>
        <v>6.6860465116279073</v>
      </c>
      <c r="AD86" s="4">
        <f t="shared" si="5"/>
        <v>86</v>
      </c>
      <c r="AE86" s="4">
        <v>0</v>
      </c>
      <c r="AF86" s="4">
        <v>6</v>
      </c>
      <c r="AG86">
        <v>20</v>
      </c>
      <c r="AH86">
        <f>Table3[[#This Row],[Flies_per_Vial]]*Table3[[#This Row],[Vials_Total_UsedInMaze]]</f>
        <v>120</v>
      </c>
      <c r="AI86">
        <f>Table3[[#This Row],[total_Flies]]/Table3[[#This Row],[flies_in]]</f>
        <v>0.71666666666666667</v>
      </c>
      <c r="AJ86"/>
      <c r="AK86" s="29">
        <f t="shared" si="4"/>
        <v>9.3333333333333339</v>
      </c>
      <c r="AL86" s="29">
        <f t="shared" si="6"/>
        <v>11.266666666666666</v>
      </c>
      <c r="AM86" s="29">
        <f>Table3[[#This Row],[end_time_num]]-Table3[[#This Row],[start_time_num]]</f>
        <v>1.9333333333333318</v>
      </c>
    </row>
    <row r="87" spans="1:39" s="4" customFormat="1" x14ac:dyDescent="0.35">
      <c r="A87" s="4">
        <v>5</v>
      </c>
      <c r="B87" s="4">
        <v>2</v>
      </c>
      <c r="C87" s="4" t="s">
        <v>154</v>
      </c>
      <c r="D87" s="4" t="s">
        <v>117</v>
      </c>
      <c r="E87" s="5">
        <v>0.3888888888888889</v>
      </c>
      <c r="F87" s="5">
        <v>0.47361111111111109</v>
      </c>
      <c r="G87" s="12">
        <v>8.4722222222222199E-2</v>
      </c>
      <c r="H87" s="5" t="s">
        <v>136</v>
      </c>
      <c r="I87" s="4" t="s">
        <v>6</v>
      </c>
      <c r="J87" s="4">
        <v>4</v>
      </c>
      <c r="K87" s="4" t="s">
        <v>1</v>
      </c>
      <c r="L87" s="15" t="s">
        <v>3</v>
      </c>
      <c r="M87" s="4">
        <v>3</v>
      </c>
      <c r="N87" s="4">
        <v>6</v>
      </c>
      <c r="O87" s="4">
        <v>7</v>
      </c>
      <c r="P87" s="4">
        <v>7</v>
      </c>
      <c r="Q87" s="4">
        <v>6</v>
      </c>
      <c r="R87" s="4">
        <v>3</v>
      </c>
      <c r="S87" s="4">
        <v>4</v>
      </c>
      <c r="T87" s="4">
        <v>6</v>
      </c>
      <c r="U87" s="4">
        <v>6</v>
      </c>
      <c r="V87" s="4">
        <v>4</v>
      </c>
      <c r="W87" s="4">
        <v>0</v>
      </c>
      <c r="X87" s="4">
        <v>1</v>
      </c>
      <c r="Y87" s="4">
        <v>0</v>
      </c>
      <c r="Z87" s="4">
        <v>2</v>
      </c>
      <c r="AA87" s="4">
        <v>0</v>
      </c>
      <c r="AB87" s="4">
        <v>1</v>
      </c>
      <c r="AC87" s="17">
        <f>SUMPRODUCT(OG_Data!D$1:S$1, M87:AB87) /SUM(M87:AB87)</f>
        <v>6.0357142857142856</v>
      </c>
      <c r="AD87" s="4">
        <f t="shared" si="5"/>
        <v>56</v>
      </c>
      <c r="AE87" s="4">
        <v>0</v>
      </c>
      <c r="AF87" s="4">
        <v>6</v>
      </c>
      <c r="AG87">
        <v>20</v>
      </c>
      <c r="AH87">
        <f>Table3[[#This Row],[Flies_per_Vial]]*Table3[[#This Row],[Vials_Total_UsedInMaze]]</f>
        <v>120</v>
      </c>
      <c r="AI87">
        <f>Table3[[#This Row],[total_Flies]]/Table3[[#This Row],[flies_in]]</f>
        <v>0.46666666666666667</v>
      </c>
      <c r="AJ87"/>
      <c r="AK87" s="29">
        <f t="shared" si="4"/>
        <v>9.3333333333333339</v>
      </c>
      <c r="AL87" s="29">
        <f t="shared" si="6"/>
        <v>11.366666666666667</v>
      </c>
      <c r="AM87" s="29">
        <f>Table3[[#This Row],[end_time_num]]-Table3[[#This Row],[start_time_num]]</f>
        <v>2.0333333333333332</v>
      </c>
    </row>
    <row r="88" spans="1:39" s="4" customFormat="1" x14ac:dyDescent="0.35">
      <c r="A88" s="4">
        <v>5</v>
      </c>
      <c r="B88" s="4">
        <v>2</v>
      </c>
      <c r="C88" s="4" t="s">
        <v>155</v>
      </c>
      <c r="D88" s="4" t="s">
        <v>117</v>
      </c>
      <c r="E88" s="5">
        <v>0.4909722222222222</v>
      </c>
      <c r="F88" s="5">
        <v>0.58333333333333337</v>
      </c>
      <c r="G88" s="12">
        <v>9.2361111111111172E-2</v>
      </c>
      <c r="H88" s="5" t="s">
        <v>136</v>
      </c>
      <c r="I88" s="4" t="s">
        <v>6</v>
      </c>
      <c r="J88" s="4">
        <v>3</v>
      </c>
      <c r="K88" s="4" t="s">
        <v>5</v>
      </c>
      <c r="L88" s="15" t="s">
        <v>3</v>
      </c>
      <c r="M88" s="4">
        <v>0</v>
      </c>
      <c r="N88" s="4">
        <v>0</v>
      </c>
      <c r="O88" s="4">
        <v>7</v>
      </c>
      <c r="P88" s="4">
        <v>0</v>
      </c>
      <c r="Q88" s="4">
        <v>1</v>
      </c>
      <c r="R88" s="4">
        <v>3</v>
      </c>
      <c r="S88" s="4">
        <v>10</v>
      </c>
      <c r="T88" s="4">
        <v>17</v>
      </c>
      <c r="U88" s="4">
        <v>12</v>
      </c>
      <c r="V88" s="4">
        <v>19</v>
      </c>
      <c r="W88" s="4">
        <v>29</v>
      </c>
      <c r="X88" s="4">
        <v>9</v>
      </c>
      <c r="Y88" s="4">
        <v>5</v>
      </c>
      <c r="Z88" s="4">
        <v>3</v>
      </c>
      <c r="AA88" s="4">
        <v>7</v>
      </c>
      <c r="AB88" s="4">
        <v>1</v>
      </c>
      <c r="AC88" s="17">
        <f>SUMPRODUCT(OG_Data!D$1:S$1, M88:AB88) /SUM(M88:AB88)</f>
        <v>9.7804878048780495</v>
      </c>
      <c r="AD88" s="4">
        <f t="shared" si="5"/>
        <v>123</v>
      </c>
      <c r="AE88" s="4">
        <v>0</v>
      </c>
      <c r="AF88" s="4">
        <v>6</v>
      </c>
      <c r="AG88">
        <v>20</v>
      </c>
      <c r="AH88">
        <f>Table3[[#This Row],[Flies_per_Vial]]*Table3[[#This Row],[Vials_Total_UsedInMaze]]</f>
        <v>120</v>
      </c>
      <c r="AI88">
        <f>Table3[[#This Row],[total_Flies]]/Table3[[#This Row],[flies_in]]</f>
        <v>1.0249999999999999</v>
      </c>
      <c r="AJ88"/>
      <c r="AK88" s="29">
        <f t="shared" si="4"/>
        <v>11.783333333333333</v>
      </c>
      <c r="AL88" s="29">
        <f t="shared" si="6"/>
        <v>14</v>
      </c>
      <c r="AM88" s="29">
        <f>Table3[[#This Row],[end_time_num]]-Table3[[#This Row],[start_time_num]]</f>
        <v>2.2166666666666668</v>
      </c>
    </row>
    <row r="89" spans="1:39" s="4" customFormat="1" x14ac:dyDescent="0.35">
      <c r="A89" s="4">
        <v>5</v>
      </c>
      <c r="B89" s="4">
        <v>2</v>
      </c>
      <c r="C89" s="4" t="s">
        <v>155</v>
      </c>
      <c r="D89" s="4" t="s">
        <v>117</v>
      </c>
      <c r="E89" s="5">
        <v>0.4909722222222222</v>
      </c>
      <c r="F89" s="5">
        <v>0.58888888888888891</v>
      </c>
      <c r="G89" s="12">
        <v>9.7916666666666707E-2</v>
      </c>
      <c r="H89" s="5" t="s">
        <v>136</v>
      </c>
      <c r="I89" s="4" t="s">
        <v>6</v>
      </c>
      <c r="J89" s="4">
        <v>3</v>
      </c>
      <c r="K89" s="4" t="s">
        <v>4</v>
      </c>
      <c r="L89" s="15" t="s">
        <v>0</v>
      </c>
      <c r="M89" s="4">
        <v>5</v>
      </c>
      <c r="N89" s="4">
        <v>14</v>
      </c>
      <c r="O89" s="4">
        <v>2</v>
      </c>
      <c r="P89" s="4">
        <v>3</v>
      </c>
      <c r="Q89" s="4">
        <v>9</v>
      </c>
      <c r="R89" s="4">
        <v>9</v>
      </c>
      <c r="S89" s="4">
        <v>4</v>
      </c>
      <c r="T89" s="4">
        <v>8</v>
      </c>
      <c r="U89" s="4">
        <v>4</v>
      </c>
      <c r="V89" s="4">
        <v>2</v>
      </c>
      <c r="W89" s="4">
        <v>1</v>
      </c>
      <c r="X89" s="4">
        <v>1</v>
      </c>
      <c r="Y89" s="4">
        <v>0</v>
      </c>
      <c r="Z89" s="4">
        <v>1</v>
      </c>
      <c r="AA89" s="4">
        <v>1</v>
      </c>
      <c r="AB89" s="4">
        <v>6</v>
      </c>
      <c r="AC89" s="17">
        <f>SUMPRODUCT(OG_Data!D$1:S$1, M89:AB89) /SUM(M89:AB89)</f>
        <v>6.371428571428571</v>
      </c>
      <c r="AD89" s="4">
        <f t="shared" si="5"/>
        <v>70</v>
      </c>
      <c r="AE89" s="4">
        <v>0</v>
      </c>
      <c r="AF89" s="4">
        <v>6</v>
      </c>
      <c r="AG89">
        <v>20</v>
      </c>
      <c r="AH89">
        <f>Table3[[#This Row],[Flies_per_Vial]]*Table3[[#This Row],[Vials_Total_UsedInMaze]]</f>
        <v>120</v>
      </c>
      <c r="AI89">
        <f>Table3[[#This Row],[total_Flies]]/Table3[[#This Row],[flies_in]]</f>
        <v>0.58333333333333337</v>
      </c>
      <c r="AJ89"/>
      <c r="AK89" s="29">
        <f t="shared" si="4"/>
        <v>11.783333333333333</v>
      </c>
      <c r="AL89" s="29">
        <f t="shared" si="6"/>
        <v>14.133333333333333</v>
      </c>
      <c r="AM89" s="29">
        <f>Table3[[#This Row],[end_time_num]]-Table3[[#This Row],[start_time_num]]</f>
        <v>2.3499999999999996</v>
      </c>
    </row>
    <row r="90" spans="1:39" s="4" customFormat="1" x14ac:dyDescent="0.35">
      <c r="A90" s="4">
        <v>5</v>
      </c>
      <c r="B90" s="4">
        <v>2</v>
      </c>
      <c r="C90" s="4" t="s">
        <v>155</v>
      </c>
      <c r="D90" s="4" t="s">
        <v>117</v>
      </c>
      <c r="E90" s="5">
        <v>0.4909722222222222</v>
      </c>
      <c r="F90" s="5">
        <v>0.59375</v>
      </c>
      <c r="G90" s="12">
        <v>0.1027777777777778</v>
      </c>
      <c r="H90" s="5" t="s">
        <v>136</v>
      </c>
      <c r="I90" s="4" t="s">
        <v>6</v>
      </c>
      <c r="J90" s="4">
        <v>3</v>
      </c>
      <c r="K90" s="4" t="s">
        <v>2</v>
      </c>
      <c r="L90" s="15" t="s">
        <v>0</v>
      </c>
      <c r="M90" s="4">
        <v>20</v>
      </c>
      <c r="N90" s="4">
        <v>23</v>
      </c>
      <c r="O90" s="4">
        <v>0</v>
      </c>
      <c r="P90" s="4">
        <v>5</v>
      </c>
      <c r="Q90" s="4">
        <v>14</v>
      </c>
      <c r="R90" s="4">
        <v>11</v>
      </c>
      <c r="S90" s="4">
        <v>5</v>
      </c>
      <c r="T90" s="4">
        <v>4</v>
      </c>
      <c r="U90" s="4">
        <v>3</v>
      </c>
      <c r="V90" s="4">
        <v>3</v>
      </c>
      <c r="W90" s="4">
        <v>2</v>
      </c>
      <c r="X90" s="4">
        <v>2</v>
      </c>
      <c r="Y90" s="4">
        <v>1</v>
      </c>
      <c r="Z90" s="4">
        <v>1</v>
      </c>
      <c r="AA90" s="4">
        <v>2</v>
      </c>
      <c r="AB90" s="4">
        <v>0</v>
      </c>
      <c r="AC90" s="17">
        <f>SUMPRODUCT(OG_Data!D$1:S$1, M90:AB90) /SUM(M90:AB90)</f>
        <v>4.677083333333333</v>
      </c>
      <c r="AD90" s="4">
        <f t="shared" si="5"/>
        <v>96</v>
      </c>
      <c r="AE90" s="4">
        <v>0</v>
      </c>
      <c r="AF90" s="4">
        <v>6</v>
      </c>
      <c r="AG90">
        <v>20</v>
      </c>
      <c r="AH90">
        <f>Table3[[#This Row],[Flies_per_Vial]]*Table3[[#This Row],[Vials_Total_UsedInMaze]]</f>
        <v>120</v>
      </c>
      <c r="AI90">
        <f>Table3[[#This Row],[total_Flies]]/Table3[[#This Row],[flies_in]]</f>
        <v>0.8</v>
      </c>
      <c r="AJ90"/>
      <c r="AK90" s="29">
        <f t="shared" si="4"/>
        <v>11.783333333333333</v>
      </c>
      <c r="AL90" s="29">
        <f t="shared" si="6"/>
        <v>14.25</v>
      </c>
      <c r="AM90" s="29">
        <f>Table3[[#This Row],[end_time_num]]-Table3[[#This Row],[start_time_num]]</f>
        <v>2.4666666666666668</v>
      </c>
    </row>
    <row r="91" spans="1:39" s="4" customFormat="1" x14ac:dyDescent="0.35">
      <c r="A91" s="4">
        <v>5</v>
      </c>
      <c r="B91" s="4">
        <v>2</v>
      </c>
      <c r="C91" s="4" t="s">
        <v>155</v>
      </c>
      <c r="D91" s="4" t="s">
        <v>117</v>
      </c>
      <c r="E91" s="5">
        <v>0.4909722222222222</v>
      </c>
      <c r="F91" s="5">
        <v>0.60069444444444442</v>
      </c>
      <c r="G91" s="12">
        <v>0.10972222222222222</v>
      </c>
      <c r="H91" s="5" t="s">
        <v>136</v>
      </c>
      <c r="I91" s="4" t="s">
        <v>6</v>
      </c>
      <c r="J91" s="4">
        <v>3</v>
      </c>
      <c r="K91" s="4" t="s">
        <v>1</v>
      </c>
      <c r="L91" s="15" t="s">
        <v>3</v>
      </c>
      <c r="M91" s="4">
        <v>9</v>
      </c>
      <c r="N91" s="4">
        <v>5</v>
      </c>
      <c r="O91" s="4">
        <v>4</v>
      </c>
      <c r="P91" s="4">
        <v>5</v>
      </c>
      <c r="Q91" s="4">
        <v>15</v>
      </c>
      <c r="R91" s="4">
        <v>17</v>
      </c>
      <c r="S91" s="4">
        <v>14</v>
      </c>
      <c r="T91" s="4">
        <v>8</v>
      </c>
      <c r="U91" s="4">
        <v>5</v>
      </c>
      <c r="V91" s="4">
        <v>3</v>
      </c>
      <c r="W91" s="4">
        <v>4</v>
      </c>
      <c r="X91" s="4">
        <v>3</v>
      </c>
      <c r="Y91" s="4">
        <v>2</v>
      </c>
      <c r="Z91" s="4">
        <v>0</v>
      </c>
      <c r="AA91" s="4">
        <v>0</v>
      </c>
      <c r="AB91" s="4">
        <v>0</v>
      </c>
      <c r="AC91" s="17">
        <f>SUMPRODUCT(OG_Data!D$1:S$1, M91:AB91) /SUM(M91:AB91)</f>
        <v>6.0744680851063828</v>
      </c>
      <c r="AD91" s="4">
        <f t="shared" si="5"/>
        <v>94</v>
      </c>
      <c r="AE91" s="4">
        <v>0</v>
      </c>
      <c r="AF91" s="4">
        <v>6</v>
      </c>
      <c r="AG91">
        <v>20</v>
      </c>
      <c r="AH91">
        <f>Table3[[#This Row],[Flies_per_Vial]]*Table3[[#This Row],[Vials_Total_UsedInMaze]]</f>
        <v>120</v>
      </c>
      <c r="AI91">
        <f>Table3[[#This Row],[total_Flies]]/Table3[[#This Row],[flies_in]]</f>
        <v>0.78333333333333333</v>
      </c>
      <c r="AJ91"/>
      <c r="AK91" s="29">
        <f t="shared" si="4"/>
        <v>11.783333333333333</v>
      </c>
      <c r="AL91" s="29">
        <f t="shared" si="6"/>
        <v>14.416666666666666</v>
      </c>
      <c r="AM91" s="29">
        <f>Table3[[#This Row],[end_time_num]]-Table3[[#This Row],[start_time_num]]</f>
        <v>2.6333333333333329</v>
      </c>
    </row>
    <row r="92" spans="1:39" s="4" customFormat="1" x14ac:dyDescent="0.35">
      <c r="A92" s="4">
        <v>5</v>
      </c>
      <c r="B92" s="4">
        <v>2</v>
      </c>
      <c r="C92" s="4" t="s">
        <v>155</v>
      </c>
      <c r="D92" s="4" t="s">
        <v>117</v>
      </c>
      <c r="E92" s="5">
        <v>0.63194444444444442</v>
      </c>
      <c r="F92" s="5">
        <v>0.75208333333333333</v>
      </c>
      <c r="G92" s="12">
        <v>0.12013888888888891</v>
      </c>
      <c r="H92" s="5" t="s">
        <v>136</v>
      </c>
      <c r="I92" s="4" t="s">
        <v>2</v>
      </c>
      <c r="J92" s="4">
        <v>1</v>
      </c>
      <c r="K92" s="4" t="s">
        <v>5</v>
      </c>
      <c r="L92" s="15" t="s">
        <v>0</v>
      </c>
      <c r="M92" s="4">
        <v>0</v>
      </c>
      <c r="N92" s="4">
        <v>1</v>
      </c>
      <c r="O92" s="4">
        <v>7</v>
      </c>
      <c r="P92" s="4">
        <v>4</v>
      </c>
      <c r="Q92" s="4">
        <v>12</v>
      </c>
      <c r="R92" s="4">
        <v>15</v>
      </c>
      <c r="S92" s="4">
        <v>11</v>
      </c>
      <c r="T92" s="4">
        <v>6</v>
      </c>
      <c r="U92" s="4">
        <v>11</v>
      </c>
      <c r="V92" s="4">
        <v>10</v>
      </c>
      <c r="W92" s="4">
        <v>13</v>
      </c>
      <c r="X92" s="4">
        <v>9</v>
      </c>
      <c r="Y92" s="4">
        <v>7</v>
      </c>
      <c r="Z92" s="4">
        <v>1</v>
      </c>
      <c r="AA92" s="4">
        <v>7</v>
      </c>
      <c r="AB92" s="4">
        <v>0</v>
      </c>
      <c r="AC92" s="17">
        <f>SUMPRODUCT(OG_Data!D$1:S$1, M92:AB92) /SUM(M92:AB92)</f>
        <v>8.5438596491228065</v>
      </c>
      <c r="AD92" s="4">
        <f t="shared" si="5"/>
        <v>114</v>
      </c>
      <c r="AE92" s="4">
        <v>1</v>
      </c>
      <c r="AF92" s="4">
        <v>6</v>
      </c>
      <c r="AG92">
        <v>20</v>
      </c>
      <c r="AH92">
        <f>Table3[[#This Row],[Flies_per_Vial]]*Table3[[#This Row],[Vials_Total_UsedInMaze]]</f>
        <v>120</v>
      </c>
      <c r="AI92">
        <f>Table3[[#This Row],[total_Flies]]/Table3[[#This Row],[flies_in]]</f>
        <v>0.95</v>
      </c>
      <c r="AJ92"/>
      <c r="AK92" s="29">
        <f t="shared" ref="AK92:AK123" si="7">24*E92</f>
        <v>15.166666666666666</v>
      </c>
      <c r="AL92" s="29">
        <f t="shared" si="6"/>
        <v>18.05</v>
      </c>
      <c r="AM92" s="29">
        <f>Table3[[#This Row],[end_time_num]]-Table3[[#This Row],[start_time_num]]</f>
        <v>2.8833333333333346</v>
      </c>
    </row>
    <row r="93" spans="1:39" s="4" customFormat="1" x14ac:dyDescent="0.35">
      <c r="A93" s="4">
        <v>5</v>
      </c>
      <c r="B93" s="4">
        <v>2</v>
      </c>
      <c r="C93" s="4" t="s">
        <v>155</v>
      </c>
      <c r="D93" s="4" t="s">
        <v>117</v>
      </c>
      <c r="E93" s="5">
        <v>0.63194444444444442</v>
      </c>
      <c r="F93" s="5">
        <v>0.75902777777777775</v>
      </c>
      <c r="G93" s="12">
        <v>0.12708333333333333</v>
      </c>
      <c r="H93" s="5" t="s">
        <v>136</v>
      </c>
      <c r="I93" s="4" t="s">
        <v>2</v>
      </c>
      <c r="J93" s="4">
        <v>1</v>
      </c>
      <c r="K93" s="4" t="s">
        <v>4</v>
      </c>
      <c r="L93" s="15" t="s">
        <v>3</v>
      </c>
      <c r="M93" s="4">
        <v>5</v>
      </c>
      <c r="N93" s="4">
        <v>2</v>
      </c>
      <c r="O93" s="4">
        <v>2</v>
      </c>
      <c r="P93" s="4">
        <v>1</v>
      </c>
      <c r="Q93" s="4">
        <v>5</v>
      </c>
      <c r="R93" s="4">
        <v>7</v>
      </c>
      <c r="S93" s="4">
        <v>3</v>
      </c>
      <c r="T93" s="4">
        <v>3</v>
      </c>
      <c r="U93" s="4">
        <v>1</v>
      </c>
      <c r="V93" s="4">
        <v>1</v>
      </c>
      <c r="W93" s="4">
        <v>2</v>
      </c>
      <c r="X93" s="4">
        <v>2</v>
      </c>
      <c r="Y93" s="4">
        <v>1</v>
      </c>
      <c r="Z93" s="4">
        <v>0</v>
      </c>
      <c r="AA93" s="4">
        <v>1</v>
      </c>
      <c r="AB93" s="4">
        <v>0</v>
      </c>
      <c r="AC93" s="17">
        <f>SUMPRODUCT(OG_Data!D$1:S$1, M93:AB93) /SUM(M93:AB93)</f>
        <v>6.2222222222222223</v>
      </c>
      <c r="AD93" s="4">
        <f t="shared" si="5"/>
        <v>36</v>
      </c>
      <c r="AE93" s="4">
        <v>0</v>
      </c>
      <c r="AF93" s="4">
        <v>6</v>
      </c>
      <c r="AG93">
        <v>20</v>
      </c>
      <c r="AH93">
        <f>Table3[[#This Row],[Flies_per_Vial]]*Table3[[#This Row],[Vials_Total_UsedInMaze]]</f>
        <v>120</v>
      </c>
      <c r="AI93">
        <f>Table3[[#This Row],[total_Flies]]/Table3[[#This Row],[flies_in]]</f>
        <v>0.3</v>
      </c>
      <c r="AJ93"/>
      <c r="AK93" s="29">
        <f t="shared" si="7"/>
        <v>15.166666666666666</v>
      </c>
      <c r="AL93" s="29">
        <f t="shared" si="6"/>
        <v>18.216666666666665</v>
      </c>
      <c r="AM93" s="29">
        <f>Table3[[#This Row],[end_time_num]]-Table3[[#This Row],[start_time_num]]</f>
        <v>3.0499999999999989</v>
      </c>
    </row>
    <row r="94" spans="1:39" s="4" customFormat="1" x14ac:dyDescent="0.35">
      <c r="A94" s="4">
        <v>5</v>
      </c>
      <c r="B94" s="4">
        <v>2</v>
      </c>
      <c r="C94" s="4" t="s">
        <v>155</v>
      </c>
      <c r="D94" s="4" t="s">
        <v>117</v>
      </c>
      <c r="E94" s="5">
        <v>0.63194444444444442</v>
      </c>
      <c r="F94" s="5">
        <v>0.76388888888888884</v>
      </c>
      <c r="G94" s="12">
        <v>0.13194444444444442</v>
      </c>
      <c r="H94" s="5" t="s">
        <v>136</v>
      </c>
      <c r="I94" s="4" t="s">
        <v>2</v>
      </c>
      <c r="J94" s="4">
        <v>2</v>
      </c>
      <c r="K94" s="4" t="s">
        <v>2</v>
      </c>
      <c r="L94" s="15" t="s">
        <v>0</v>
      </c>
      <c r="M94" s="4">
        <v>12</v>
      </c>
      <c r="N94" s="4">
        <v>24</v>
      </c>
      <c r="O94" s="4">
        <v>36</v>
      </c>
      <c r="P94" s="4">
        <v>8</v>
      </c>
      <c r="Q94" s="4">
        <v>6</v>
      </c>
      <c r="R94" s="4">
        <v>15</v>
      </c>
      <c r="S94" s="4">
        <v>8</v>
      </c>
      <c r="T94" s="4">
        <v>11</v>
      </c>
      <c r="U94" s="4">
        <v>5</v>
      </c>
      <c r="V94" s="4">
        <v>0</v>
      </c>
      <c r="W94" s="4">
        <v>4</v>
      </c>
      <c r="X94" s="4">
        <v>1</v>
      </c>
      <c r="Y94" s="4">
        <v>2</v>
      </c>
      <c r="Z94" s="4">
        <v>0</v>
      </c>
      <c r="AA94" s="4">
        <v>1</v>
      </c>
      <c r="AB94" s="4">
        <v>1</v>
      </c>
      <c r="AC94" s="17">
        <f>SUMPRODUCT(OG_Data!D$1:S$1, M94:AB94) /SUM(M94:AB94)</f>
        <v>4.6417910447761193</v>
      </c>
      <c r="AD94" s="4">
        <f t="shared" si="5"/>
        <v>134</v>
      </c>
      <c r="AE94" s="4">
        <v>0</v>
      </c>
      <c r="AF94" s="4">
        <v>7</v>
      </c>
      <c r="AG94">
        <v>20</v>
      </c>
      <c r="AH94">
        <f>Table3[[#This Row],[Flies_per_Vial]]*Table3[[#This Row],[Vials_Total_UsedInMaze]]</f>
        <v>140</v>
      </c>
      <c r="AI94">
        <f>Table3[[#This Row],[total_Flies]]/Table3[[#This Row],[flies_in]]</f>
        <v>0.95714285714285718</v>
      </c>
      <c r="AJ94"/>
      <c r="AK94" s="29">
        <f t="shared" si="7"/>
        <v>15.166666666666666</v>
      </c>
      <c r="AL94" s="29">
        <f t="shared" si="6"/>
        <v>18.333333333333332</v>
      </c>
      <c r="AM94" s="29">
        <f>Table3[[#This Row],[end_time_num]]-Table3[[#This Row],[start_time_num]]</f>
        <v>3.1666666666666661</v>
      </c>
    </row>
    <row r="95" spans="1:39" s="4" customFormat="1" x14ac:dyDescent="0.35">
      <c r="A95" s="4">
        <v>5</v>
      </c>
      <c r="B95" s="4">
        <v>2</v>
      </c>
      <c r="C95" s="4" t="s">
        <v>155</v>
      </c>
      <c r="D95" s="4" t="s">
        <v>117</v>
      </c>
      <c r="E95" s="5">
        <v>0.63194444444444442</v>
      </c>
      <c r="F95" s="5">
        <v>0.77013888888888893</v>
      </c>
      <c r="G95" s="12">
        <v>0.13819444444444451</v>
      </c>
      <c r="H95" s="5" t="s">
        <v>136</v>
      </c>
      <c r="I95" s="4" t="s">
        <v>2</v>
      </c>
      <c r="J95" s="4">
        <v>2</v>
      </c>
      <c r="K95" s="4" t="s">
        <v>1</v>
      </c>
      <c r="L95" s="15" t="s">
        <v>3</v>
      </c>
      <c r="M95" s="4">
        <v>0</v>
      </c>
      <c r="N95" s="4">
        <v>1</v>
      </c>
      <c r="O95" s="4">
        <v>2</v>
      </c>
      <c r="P95" s="4">
        <v>0</v>
      </c>
      <c r="Q95" s="4">
        <v>2</v>
      </c>
      <c r="R95" s="4">
        <v>3</v>
      </c>
      <c r="S95" s="4">
        <v>3</v>
      </c>
      <c r="T95" s="4">
        <v>4</v>
      </c>
      <c r="U95" s="4">
        <v>6</v>
      </c>
      <c r="V95" s="4">
        <v>1</v>
      </c>
      <c r="W95" s="4">
        <v>0</v>
      </c>
      <c r="X95" s="4">
        <v>1</v>
      </c>
      <c r="Y95" s="4">
        <v>0</v>
      </c>
      <c r="Z95" s="4">
        <v>1</v>
      </c>
      <c r="AA95" s="4">
        <v>2</v>
      </c>
      <c r="AB95" s="4">
        <v>0</v>
      </c>
      <c r="AC95" s="17">
        <f>SUMPRODUCT(OG_Data!D$1:S$1, M95:AB95) /SUM(M95:AB95)</f>
        <v>8.0384615384615383</v>
      </c>
      <c r="AD95" s="4">
        <f t="shared" si="5"/>
        <v>26</v>
      </c>
      <c r="AE95" s="4">
        <v>0</v>
      </c>
      <c r="AF95" s="4">
        <v>5</v>
      </c>
      <c r="AG95">
        <v>20</v>
      </c>
      <c r="AH95">
        <f>Table3[[#This Row],[Flies_per_Vial]]*Table3[[#This Row],[Vials_Total_UsedInMaze]]</f>
        <v>100</v>
      </c>
      <c r="AI95">
        <f>Table3[[#This Row],[total_Flies]]/Table3[[#This Row],[flies_in]]</f>
        <v>0.26</v>
      </c>
      <c r="AJ95"/>
      <c r="AK95" s="29">
        <f t="shared" si="7"/>
        <v>15.166666666666666</v>
      </c>
      <c r="AL95" s="29">
        <f t="shared" si="6"/>
        <v>18.483333333333334</v>
      </c>
      <c r="AM95" s="29">
        <f>Table3[[#This Row],[end_time_num]]-Table3[[#This Row],[start_time_num]]</f>
        <v>3.3166666666666682</v>
      </c>
    </row>
    <row r="96" spans="1:39" s="4" customFormat="1" x14ac:dyDescent="0.35">
      <c r="A96" s="4">
        <v>5</v>
      </c>
      <c r="B96" s="4">
        <v>2</v>
      </c>
      <c r="C96" s="4" t="s">
        <v>155</v>
      </c>
      <c r="D96" s="4" t="s">
        <v>117</v>
      </c>
      <c r="E96" s="5">
        <v>0.78472222222222221</v>
      </c>
      <c r="F96" s="5">
        <v>0.87569444444444444</v>
      </c>
      <c r="G96" s="12">
        <v>9.0972222222222232E-2</v>
      </c>
      <c r="H96" s="5" t="s">
        <v>136</v>
      </c>
      <c r="I96" s="4" t="s">
        <v>2</v>
      </c>
      <c r="J96" s="4">
        <v>3</v>
      </c>
      <c r="K96" s="4" t="s">
        <v>5</v>
      </c>
      <c r="L96" s="15" t="s">
        <v>3</v>
      </c>
      <c r="M96" s="4">
        <v>1</v>
      </c>
      <c r="N96" s="4">
        <v>0</v>
      </c>
      <c r="O96" s="4">
        <v>10</v>
      </c>
      <c r="P96" s="4">
        <v>1</v>
      </c>
      <c r="Q96" s="4">
        <v>2</v>
      </c>
      <c r="R96" s="4">
        <v>2</v>
      </c>
      <c r="S96" s="4">
        <v>5</v>
      </c>
      <c r="T96" s="4">
        <v>9</v>
      </c>
      <c r="U96" s="4">
        <v>4</v>
      </c>
      <c r="V96" s="4">
        <v>10</v>
      </c>
      <c r="W96" s="4">
        <v>42</v>
      </c>
      <c r="X96" s="4">
        <v>3</v>
      </c>
      <c r="Y96" s="4">
        <v>17</v>
      </c>
      <c r="Z96" s="4">
        <v>4</v>
      </c>
      <c r="AA96" s="4">
        <v>6</v>
      </c>
      <c r="AB96" s="4">
        <v>2</v>
      </c>
      <c r="AC96" s="17">
        <f>SUMPRODUCT(OG_Data!D$1:S$1, M96:AB96) /SUM(M96:AB96)</f>
        <v>10.14406779661017</v>
      </c>
      <c r="AD96" s="4">
        <f t="shared" si="5"/>
        <v>118</v>
      </c>
      <c r="AE96" s="4">
        <v>0</v>
      </c>
      <c r="AF96" s="4">
        <v>6</v>
      </c>
      <c r="AG96">
        <v>20</v>
      </c>
      <c r="AH96">
        <f>Table3[[#This Row],[Flies_per_Vial]]*Table3[[#This Row],[Vials_Total_UsedInMaze]]</f>
        <v>120</v>
      </c>
      <c r="AI96">
        <f>Table3[[#This Row],[total_Flies]]/Table3[[#This Row],[flies_in]]</f>
        <v>0.98333333333333328</v>
      </c>
      <c r="AJ96"/>
      <c r="AK96" s="29">
        <f t="shared" si="7"/>
        <v>18.833333333333332</v>
      </c>
      <c r="AL96" s="29">
        <f t="shared" si="6"/>
        <v>21.016666666666666</v>
      </c>
      <c r="AM96" s="29">
        <f>Table3[[#This Row],[end_time_num]]-Table3[[#This Row],[start_time_num]]</f>
        <v>2.1833333333333336</v>
      </c>
    </row>
    <row r="97" spans="1:39" s="4" customFormat="1" x14ac:dyDescent="0.35">
      <c r="A97" s="4">
        <v>5</v>
      </c>
      <c r="B97" s="4">
        <v>2</v>
      </c>
      <c r="C97" s="4" t="s">
        <v>155</v>
      </c>
      <c r="D97" s="4" t="s">
        <v>117</v>
      </c>
      <c r="E97" s="5">
        <v>0.78472222222222221</v>
      </c>
      <c r="F97" s="5">
        <v>0.88541666666666663</v>
      </c>
      <c r="G97" s="12">
        <v>0.10069444444444442</v>
      </c>
      <c r="H97" s="5" t="s">
        <v>136</v>
      </c>
      <c r="I97" s="4" t="s">
        <v>2</v>
      </c>
      <c r="J97" s="4">
        <v>3</v>
      </c>
      <c r="K97" s="4" t="s">
        <v>4</v>
      </c>
      <c r="L97" s="15" t="s">
        <v>0</v>
      </c>
      <c r="M97" s="4">
        <v>5</v>
      </c>
      <c r="N97" s="4">
        <v>10</v>
      </c>
      <c r="O97" s="4">
        <v>2</v>
      </c>
      <c r="P97" s="4">
        <v>2</v>
      </c>
      <c r="Q97" s="4">
        <v>6</v>
      </c>
      <c r="R97" s="4">
        <v>3</v>
      </c>
      <c r="S97" s="4">
        <v>3</v>
      </c>
      <c r="T97" s="4">
        <v>14</v>
      </c>
      <c r="U97" s="4">
        <v>7</v>
      </c>
      <c r="V97" s="4">
        <v>11</v>
      </c>
      <c r="W97" s="4">
        <v>12</v>
      </c>
      <c r="X97" s="4">
        <v>5</v>
      </c>
      <c r="Y97" s="4">
        <v>6</v>
      </c>
      <c r="Z97" s="4">
        <v>4</v>
      </c>
      <c r="AA97" s="4">
        <v>3</v>
      </c>
      <c r="AB97" s="4">
        <v>1</v>
      </c>
      <c r="AC97" s="17">
        <f>SUMPRODUCT(OG_Data!D$1:S$1, M97:AB97) /SUM(M97:AB97)</f>
        <v>8.2978723404255312</v>
      </c>
      <c r="AD97" s="4">
        <f t="shared" si="5"/>
        <v>94</v>
      </c>
      <c r="AE97" s="4">
        <v>0</v>
      </c>
      <c r="AF97" s="4">
        <v>6</v>
      </c>
      <c r="AG97">
        <v>20</v>
      </c>
      <c r="AH97">
        <f>Table3[[#This Row],[Flies_per_Vial]]*Table3[[#This Row],[Vials_Total_UsedInMaze]]</f>
        <v>120</v>
      </c>
      <c r="AI97">
        <f>Table3[[#This Row],[total_Flies]]/Table3[[#This Row],[flies_in]]</f>
        <v>0.78333333333333333</v>
      </c>
      <c r="AJ97"/>
      <c r="AK97" s="29">
        <f t="shared" si="7"/>
        <v>18.833333333333332</v>
      </c>
      <c r="AL97" s="29">
        <f t="shared" si="6"/>
        <v>21.25</v>
      </c>
      <c r="AM97" s="29">
        <f>Table3[[#This Row],[end_time_num]]-Table3[[#This Row],[start_time_num]]</f>
        <v>2.4166666666666679</v>
      </c>
    </row>
    <row r="98" spans="1:39" s="4" customFormat="1" x14ac:dyDescent="0.35">
      <c r="A98" s="4">
        <v>5</v>
      </c>
      <c r="B98" s="4">
        <v>2</v>
      </c>
      <c r="C98" s="4" t="s">
        <v>155</v>
      </c>
      <c r="D98" s="4" t="s">
        <v>117</v>
      </c>
      <c r="E98" s="5">
        <v>0.78472222222222199</v>
      </c>
      <c r="F98" s="5">
        <v>0.90208333333333335</v>
      </c>
      <c r="G98" s="12">
        <v>0.11736111111111136</v>
      </c>
      <c r="H98" s="5" t="s">
        <v>136</v>
      </c>
      <c r="I98" s="4" t="s">
        <v>2</v>
      </c>
      <c r="J98" s="4">
        <v>4</v>
      </c>
      <c r="K98" s="4" t="s">
        <v>2</v>
      </c>
      <c r="L98" s="15" t="s">
        <v>3</v>
      </c>
      <c r="M98" s="4">
        <v>3</v>
      </c>
      <c r="N98" s="4">
        <v>6</v>
      </c>
      <c r="O98" s="4">
        <v>14</v>
      </c>
      <c r="P98" s="4">
        <v>1</v>
      </c>
      <c r="Q98" s="4">
        <v>6</v>
      </c>
      <c r="R98" s="4">
        <v>5</v>
      </c>
      <c r="S98" s="4">
        <v>6</v>
      </c>
      <c r="T98" s="4">
        <v>4</v>
      </c>
      <c r="U98" s="4">
        <v>0</v>
      </c>
      <c r="V98" s="4">
        <v>5</v>
      </c>
      <c r="W98" s="4">
        <v>0</v>
      </c>
      <c r="X98" s="4">
        <v>0</v>
      </c>
      <c r="Y98" s="4">
        <v>2</v>
      </c>
      <c r="Z98" s="4">
        <v>0</v>
      </c>
      <c r="AA98" s="4">
        <v>0</v>
      </c>
      <c r="AB98" s="4">
        <v>0</v>
      </c>
      <c r="AC98" s="17">
        <f>SUMPRODUCT(OG_Data!D$1:S$1, M98:AB98) /SUM(M98:AB98)</f>
        <v>5.2115384615384617</v>
      </c>
      <c r="AD98" s="4">
        <f t="shared" si="5"/>
        <v>52</v>
      </c>
      <c r="AE98" s="4">
        <v>0</v>
      </c>
      <c r="AF98" s="4">
        <v>6</v>
      </c>
      <c r="AG98">
        <v>20</v>
      </c>
      <c r="AH98">
        <f>Table3[[#This Row],[Flies_per_Vial]]*Table3[[#This Row],[Vials_Total_UsedInMaze]]</f>
        <v>120</v>
      </c>
      <c r="AI98">
        <f>Table3[[#This Row],[total_Flies]]/Table3[[#This Row],[flies_in]]</f>
        <v>0.43333333333333335</v>
      </c>
      <c r="AJ98"/>
      <c r="AK98" s="29">
        <f t="shared" si="7"/>
        <v>18.833333333333329</v>
      </c>
      <c r="AL98" s="29">
        <f t="shared" si="6"/>
        <v>21.65</v>
      </c>
      <c r="AM98" s="29">
        <f>Table3[[#This Row],[end_time_num]]-Table3[[#This Row],[start_time_num]]</f>
        <v>2.81666666666667</v>
      </c>
    </row>
    <row r="99" spans="1:39" s="4" customFormat="1" x14ac:dyDescent="0.35">
      <c r="A99" s="4">
        <v>5</v>
      </c>
      <c r="B99" s="4">
        <v>2</v>
      </c>
      <c r="C99" s="4" t="s">
        <v>155</v>
      </c>
      <c r="D99" s="4" t="s">
        <v>117</v>
      </c>
      <c r="E99" s="5">
        <v>0.78472222222222199</v>
      </c>
      <c r="F99" s="5">
        <v>0.90972222222222221</v>
      </c>
      <c r="G99" s="12">
        <v>0.12500000000000022</v>
      </c>
      <c r="H99" s="5" t="s">
        <v>136</v>
      </c>
      <c r="I99" s="4" t="s">
        <v>2</v>
      </c>
      <c r="J99" s="4">
        <v>4</v>
      </c>
      <c r="K99" s="4" t="s">
        <v>1</v>
      </c>
      <c r="L99" s="15" t="s">
        <v>0</v>
      </c>
      <c r="M99" s="4">
        <v>1</v>
      </c>
      <c r="N99" s="4">
        <v>3</v>
      </c>
      <c r="O99" s="4">
        <v>0</v>
      </c>
      <c r="P99" s="4">
        <v>7</v>
      </c>
      <c r="Q99" s="4">
        <v>14</v>
      </c>
      <c r="R99" s="4">
        <v>6</v>
      </c>
      <c r="S99" s="4">
        <v>1</v>
      </c>
      <c r="T99" s="4">
        <v>2</v>
      </c>
      <c r="U99" s="4">
        <v>4</v>
      </c>
      <c r="V99" s="4">
        <v>9</v>
      </c>
      <c r="W99" s="4">
        <v>0</v>
      </c>
      <c r="X99" s="4">
        <v>2</v>
      </c>
      <c r="Y99" s="4">
        <v>3</v>
      </c>
      <c r="Z99" s="4">
        <v>6</v>
      </c>
      <c r="AA99" s="4">
        <v>2</v>
      </c>
      <c r="AB99" s="4">
        <v>0</v>
      </c>
      <c r="AC99" s="17">
        <f>SUMPRODUCT(OG_Data!D$1:S$1, M99:AB99) /SUM(M99:AB99)</f>
        <v>7.7833333333333332</v>
      </c>
      <c r="AD99" s="19">
        <f t="shared" si="5"/>
        <v>60</v>
      </c>
      <c r="AE99" s="4">
        <v>0</v>
      </c>
      <c r="AF99" s="4">
        <v>6</v>
      </c>
      <c r="AG99">
        <v>20</v>
      </c>
      <c r="AH99">
        <f>Table3[[#This Row],[Flies_per_Vial]]*Table3[[#This Row],[Vials_Total_UsedInMaze]]</f>
        <v>120</v>
      </c>
      <c r="AI99">
        <f>Table3[[#This Row],[total_Flies]]/Table3[[#This Row],[flies_in]]</f>
        <v>0.5</v>
      </c>
      <c r="AJ99"/>
      <c r="AK99" s="29">
        <f t="shared" si="7"/>
        <v>18.833333333333329</v>
      </c>
      <c r="AL99" s="29">
        <f t="shared" si="6"/>
        <v>21.833333333333332</v>
      </c>
      <c r="AM99" s="29">
        <f>Table3[[#This Row],[end_time_num]]-Table3[[#This Row],[start_time_num]]</f>
        <v>3.0000000000000036</v>
      </c>
    </row>
    <row r="100" spans="1:39" x14ac:dyDescent="0.35">
      <c r="A100">
        <v>6</v>
      </c>
      <c r="B100">
        <v>1</v>
      </c>
      <c r="C100" t="s">
        <v>154</v>
      </c>
      <c r="D100" t="s">
        <v>120</v>
      </c>
      <c r="E100" s="2">
        <v>0.39444444444444443</v>
      </c>
      <c r="F100" s="2">
        <v>0.48819444444444443</v>
      </c>
      <c r="G100" s="13">
        <v>9.375E-2</v>
      </c>
      <c r="H100" s="5" t="s">
        <v>136</v>
      </c>
      <c r="I100" t="s">
        <v>6</v>
      </c>
      <c r="J100">
        <v>1</v>
      </c>
      <c r="K100" t="s">
        <v>5</v>
      </c>
      <c r="L100" s="14" t="s">
        <v>0</v>
      </c>
      <c r="M100">
        <v>0</v>
      </c>
      <c r="N100">
        <v>4</v>
      </c>
      <c r="O100">
        <v>3</v>
      </c>
      <c r="P100">
        <v>5</v>
      </c>
      <c r="Q100">
        <v>20</v>
      </c>
      <c r="R100">
        <v>4</v>
      </c>
      <c r="S100">
        <v>13</v>
      </c>
      <c r="T100">
        <v>10</v>
      </c>
      <c r="U100">
        <v>13</v>
      </c>
      <c r="V100">
        <v>6</v>
      </c>
      <c r="W100">
        <v>6</v>
      </c>
      <c r="X100">
        <v>7</v>
      </c>
      <c r="Y100">
        <v>0</v>
      </c>
      <c r="Z100">
        <v>4</v>
      </c>
      <c r="AA100">
        <v>4</v>
      </c>
      <c r="AB100">
        <v>0</v>
      </c>
      <c r="AC100" s="18">
        <f>SUMPRODUCT(OG_Data!D$1:S$1, M100:AB100) /SUM(M100:AB100)</f>
        <v>7.8282828282828278</v>
      </c>
      <c r="AD100">
        <f t="shared" si="5"/>
        <v>99</v>
      </c>
      <c r="AE100">
        <v>1</v>
      </c>
      <c r="AF100">
        <v>6</v>
      </c>
      <c r="AG100">
        <v>20</v>
      </c>
      <c r="AH100">
        <f>Table3[[#This Row],[Flies_per_Vial]]*Table3[[#This Row],[Vials_Total_UsedInMaze]]</f>
        <v>120</v>
      </c>
      <c r="AI100">
        <f>Table3[[#This Row],[total_Flies]]/Table3[[#This Row],[flies_in]]</f>
        <v>0.82499999999999996</v>
      </c>
      <c r="AJ100"/>
      <c r="AK100" s="31">
        <f t="shared" si="7"/>
        <v>9.4666666666666668</v>
      </c>
      <c r="AL100" s="31">
        <f t="shared" si="6"/>
        <v>11.716666666666667</v>
      </c>
      <c r="AM100" s="31">
        <f>Table3[[#This Row],[end_time_num]]-Table3[[#This Row],[start_time_num]]</f>
        <v>2.25</v>
      </c>
    </row>
    <row r="101" spans="1:39" x14ac:dyDescent="0.35">
      <c r="A101">
        <v>6</v>
      </c>
      <c r="B101">
        <v>1</v>
      </c>
      <c r="C101" t="s">
        <v>154</v>
      </c>
      <c r="D101" t="s">
        <v>120</v>
      </c>
      <c r="E101" s="2">
        <v>0.39444444444444443</v>
      </c>
      <c r="F101" s="2">
        <v>0.49305555555555558</v>
      </c>
      <c r="G101" s="13">
        <v>9.8611111111111149E-2</v>
      </c>
      <c r="H101" s="28" t="s">
        <v>136</v>
      </c>
      <c r="I101" t="s">
        <v>6</v>
      </c>
      <c r="J101">
        <v>1</v>
      </c>
      <c r="K101" t="s">
        <v>4</v>
      </c>
      <c r="L101" s="14" t="s">
        <v>3</v>
      </c>
      <c r="M101">
        <v>1</v>
      </c>
      <c r="N101">
        <v>6</v>
      </c>
      <c r="O101">
        <v>6</v>
      </c>
      <c r="P101">
        <v>2</v>
      </c>
      <c r="Q101">
        <v>2</v>
      </c>
      <c r="R101">
        <v>4</v>
      </c>
      <c r="S101">
        <v>4</v>
      </c>
      <c r="T101">
        <v>4</v>
      </c>
      <c r="U101">
        <v>2</v>
      </c>
      <c r="V101">
        <v>9</v>
      </c>
      <c r="W101">
        <v>2</v>
      </c>
      <c r="X101">
        <v>3</v>
      </c>
      <c r="Y101">
        <v>2</v>
      </c>
      <c r="Z101">
        <v>3</v>
      </c>
      <c r="AA101">
        <v>2</v>
      </c>
      <c r="AB101">
        <v>3</v>
      </c>
      <c r="AC101" s="18">
        <f>SUMPRODUCT(OG_Data!D$1:S$1, M101:AB101) /SUM(M101:AB101)</f>
        <v>8.0909090909090917</v>
      </c>
      <c r="AD101">
        <f t="shared" si="5"/>
        <v>55</v>
      </c>
      <c r="AE101">
        <v>0</v>
      </c>
      <c r="AF101">
        <v>6</v>
      </c>
      <c r="AG101">
        <v>20</v>
      </c>
      <c r="AH101">
        <f>Table3[[#This Row],[Flies_per_Vial]]*Table3[[#This Row],[Vials_Total_UsedInMaze]]</f>
        <v>120</v>
      </c>
      <c r="AI101">
        <f>Table3[[#This Row],[total_Flies]]/Table3[[#This Row],[flies_in]]</f>
        <v>0.45833333333333331</v>
      </c>
      <c r="AJ101"/>
      <c r="AK101" s="31">
        <f t="shared" si="7"/>
        <v>9.4666666666666668</v>
      </c>
      <c r="AL101" s="31">
        <f t="shared" si="6"/>
        <v>11.833333333333334</v>
      </c>
      <c r="AM101" s="31">
        <f>Table3[[#This Row],[end_time_num]]-Table3[[#This Row],[start_time_num]]</f>
        <v>2.3666666666666671</v>
      </c>
    </row>
    <row r="102" spans="1:39" x14ac:dyDescent="0.35">
      <c r="A102">
        <v>6</v>
      </c>
      <c r="B102">
        <v>1</v>
      </c>
      <c r="C102" t="s">
        <v>154</v>
      </c>
      <c r="D102" t="s">
        <v>120</v>
      </c>
      <c r="E102" s="2">
        <v>0.39444444444444443</v>
      </c>
      <c r="F102" s="2">
        <v>0.50486111111111109</v>
      </c>
      <c r="G102" s="13">
        <v>0.11041666666666666</v>
      </c>
      <c r="H102" s="28" t="s">
        <v>136</v>
      </c>
      <c r="I102" t="s">
        <v>6</v>
      </c>
      <c r="J102">
        <v>1</v>
      </c>
      <c r="K102" t="s">
        <v>2</v>
      </c>
      <c r="L102" s="14" t="s">
        <v>3</v>
      </c>
      <c r="M102">
        <v>4</v>
      </c>
      <c r="N102">
        <v>2</v>
      </c>
      <c r="O102">
        <v>6</v>
      </c>
      <c r="P102">
        <v>3</v>
      </c>
      <c r="Q102">
        <v>5</v>
      </c>
      <c r="R102">
        <v>4</v>
      </c>
      <c r="S102">
        <v>2</v>
      </c>
      <c r="T102">
        <v>2</v>
      </c>
      <c r="U102">
        <v>1</v>
      </c>
      <c r="V102">
        <v>3</v>
      </c>
      <c r="W102">
        <v>2</v>
      </c>
      <c r="X102">
        <v>1</v>
      </c>
      <c r="Y102">
        <v>1</v>
      </c>
      <c r="Z102">
        <v>1</v>
      </c>
      <c r="AA102">
        <v>1</v>
      </c>
      <c r="AB102">
        <v>0</v>
      </c>
      <c r="AC102" s="18">
        <f>SUMPRODUCT(OG_Data!D$1:S$1, M102:AB102) /SUM(M102:AB102)</f>
        <v>6.1052631578947372</v>
      </c>
      <c r="AD102">
        <f t="shared" si="5"/>
        <v>38</v>
      </c>
      <c r="AE102">
        <v>0</v>
      </c>
      <c r="AF102">
        <v>6</v>
      </c>
      <c r="AG102">
        <v>20</v>
      </c>
      <c r="AH102">
        <f>Table3[[#This Row],[Flies_per_Vial]]*Table3[[#This Row],[Vials_Total_UsedInMaze]]</f>
        <v>120</v>
      </c>
      <c r="AI102">
        <f>Table3[[#This Row],[total_Flies]]/Table3[[#This Row],[flies_in]]</f>
        <v>0.31666666666666665</v>
      </c>
      <c r="AJ102"/>
      <c r="AK102" s="31">
        <f t="shared" si="7"/>
        <v>9.4666666666666668</v>
      </c>
      <c r="AL102" s="31">
        <f t="shared" si="6"/>
        <v>12.116666666666667</v>
      </c>
      <c r="AM102" s="31">
        <f>Table3[[#This Row],[end_time_num]]-Table3[[#This Row],[start_time_num]]</f>
        <v>2.6500000000000004</v>
      </c>
    </row>
    <row r="103" spans="1:39" x14ac:dyDescent="0.35">
      <c r="A103">
        <v>6</v>
      </c>
      <c r="B103">
        <v>1</v>
      </c>
      <c r="C103" t="s">
        <v>154</v>
      </c>
      <c r="D103" t="s">
        <v>120</v>
      </c>
      <c r="E103" s="2">
        <v>0.39444444444444443</v>
      </c>
      <c r="F103" s="2">
        <v>0.51111111111111107</v>
      </c>
      <c r="G103" s="13">
        <v>0.11666666666666664</v>
      </c>
      <c r="H103" s="28" t="s">
        <v>136</v>
      </c>
      <c r="I103" t="s">
        <v>6</v>
      </c>
      <c r="J103">
        <v>1</v>
      </c>
      <c r="K103" t="s">
        <v>1</v>
      </c>
      <c r="L103" s="14" t="s">
        <v>0</v>
      </c>
      <c r="M103">
        <v>1</v>
      </c>
      <c r="N103">
        <v>4</v>
      </c>
      <c r="O103">
        <v>5</v>
      </c>
      <c r="P103">
        <v>4</v>
      </c>
      <c r="Q103">
        <v>6</v>
      </c>
      <c r="R103">
        <v>7</v>
      </c>
      <c r="S103">
        <v>7</v>
      </c>
      <c r="T103">
        <v>7</v>
      </c>
      <c r="U103">
        <v>9</v>
      </c>
      <c r="V103">
        <v>1</v>
      </c>
      <c r="W103">
        <v>2</v>
      </c>
      <c r="X103">
        <v>1</v>
      </c>
      <c r="Y103">
        <v>0</v>
      </c>
      <c r="Z103">
        <v>2</v>
      </c>
      <c r="AA103">
        <v>1</v>
      </c>
      <c r="AB103">
        <v>0</v>
      </c>
      <c r="AC103" s="18">
        <f>SUMPRODUCT(OG_Data!D$1:S$1, M103:AB103) /SUM(M103:AB103)</f>
        <v>6.7543859649122808</v>
      </c>
      <c r="AD103">
        <f t="shared" si="5"/>
        <v>57</v>
      </c>
      <c r="AE103">
        <v>1</v>
      </c>
      <c r="AF103">
        <v>6</v>
      </c>
      <c r="AG103">
        <v>20</v>
      </c>
      <c r="AH103">
        <f>Table3[[#This Row],[Flies_per_Vial]]*Table3[[#This Row],[Vials_Total_UsedInMaze]]</f>
        <v>120</v>
      </c>
      <c r="AI103">
        <f>Table3[[#This Row],[total_Flies]]/Table3[[#This Row],[flies_in]]</f>
        <v>0.47499999999999998</v>
      </c>
      <c r="AJ103"/>
      <c r="AK103" s="31">
        <f t="shared" si="7"/>
        <v>9.4666666666666668</v>
      </c>
      <c r="AL103" s="31">
        <f t="shared" si="6"/>
        <v>12.266666666666666</v>
      </c>
      <c r="AM103" s="31">
        <f>Table3[[#This Row],[end_time_num]]-Table3[[#This Row],[start_time_num]]</f>
        <v>2.7999999999999989</v>
      </c>
    </row>
    <row r="104" spans="1:39" x14ac:dyDescent="0.35">
      <c r="A104">
        <v>6</v>
      </c>
      <c r="B104">
        <v>1</v>
      </c>
      <c r="C104" t="s">
        <v>155</v>
      </c>
      <c r="D104" t="s">
        <v>120</v>
      </c>
      <c r="E104" s="2">
        <v>0.52152777777777781</v>
      </c>
      <c r="F104" s="2">
        <v>0.72916666666666663</v>
      </c>
      <c r="G104" s="13">
        <v>0.20763888888888882</v>
      </c>
      <c r="H104" s="28" t="s">
        <v>136</v>
      </c>
      <c r="I104" t="s">
        <v>6</v>
      </c>
      <c r="J104">
        <v>2</v>
      </c>
      <c r="K104" t="s">
        <v>5</v>
      </c>
      <c r="L104" s="14" t="s">
        <v>0</v>
      </c>
      <c r="M104">
        <v>0</v>
      </c>
      <c r="N104">
        <v>2</v>
      </c>
      <c r="O104">
        <v>2</v>
      </c>
      <c r="P104">
        <v>3</v>
      </c>
      <c r="Q104">
        <v>2</v>
      </c>
      <c r="R104">
        <v>4</v>
      </c>
      <c r="S104">
        <v>8</v>
      </c>
      <c r="T104">
        <v>13</v>
      </c>
      <c r="U104">
        <v>9</v>
      </c>
      <c r="V104">
        <v>9</v>
      </c>
      <c r="W104">
        <v>13</v>
      </c>
      <c r="X104">
        <v>15</v>
      </c>
      <c r="Y104">
        <v>12</v>
      </c>
      <c r="Z104">
        <v>8</v>
      </c>
      <c r="AA104">
        <v>11</v>
      </c>
      <c r="AB104">
        <v>3</v>
      </c>
      <c r="AC104" s="18">
        <f>SUMPRODUCT(OG_Data!D$1:S$1, M104:AB104) /SUM(M104:AB104)</f>
        <v>10.447368421052632</v>
      </c>
      <c r="AD104">
        <f t="shared" si="5"/>
        <v>114</v>
      </c>
      <c r="AE104">
        <v>0</v>
      </c>
      <c r="AF104">
        <v>6</v>
      </c>
      <c r="AG104">
        <v>20</v>
      </c>
      <c r="AH104">
        <f>Table3[[#This Row],[Flies_per_Vial]]*Table3[[#This Row],[Vials_Total_UsedInMaze]]</f>
        <v>120</v>
      </c>
      <c r="AI104">
        <f>Table3[[#This Row],[total_Flies]]/Table3[[#This Row],[flies_in]]</f>
        <v>0.95</v>
      </c>
      <c r="AJ104"/>
      <c r="AK104" s="31">
        <f t="shared" si="7"/>
        <v>12.516666666666667</v>
      </c>
      <c r="AL104" s="31">
        <f t="shared" si="6"/>
        <v>17.5</v>
      </c>
      <c r="AM104" s="31">
        <f>Table3[[#This Row],[end_time_num]]-Table3[[#This Row],[start_time_num]]</f>
        <v>4.9833333333333325</v>
      </c>
    </row>
    <row r="105" spans="1:39" x14ac:dyDescent="0.35">
      <c r="A105">
        <v>6</v>
      </c>
      <c r="B105">
        <v>1</v>
      </c>
      <c r="C105" t="s">
        <v>155</v>
      </c>
      <c r="D105" t="s">
        <v>120</v>
      </c>
      <c r="E105" s="2">
        <v>0.52152777777777781</v>
      </c>
      <c r="F105" s="2">
        <v>0.72013888888888888</v>
      </c>
      <c r="G105" s="13">
        <v>0.19861111111111107</v>
      </c>
      <c r="H105" s="28" t="s">
        <v>136</v>
      </c>
      <c r="I105" t="s">
        <v>6</v>
      </c>
      <c r="J105">
        <v>2</v>
      </c>
      <c r="K105" t="s">
        <v>4</v>
      </c>
      <c r="L105" s="14" t="s">
        <v>3</v>
      </c>
      <c r="M105">
        <v>10</v>
      </c>
      <c r="N105">
        <v>11</v>
      </c>
      <c r="O105">
        <v>10</v>
      </c>
      <c r="P105">
        <v>12</v>
      </c>
      <c r="Q105">
        <v>5</v>
      </c>
      <c r="R105">
        <v>6</v>
      </c>
      <c r="S105">
        <v>6</v>
      </c>
      <c r="T105">
        <v>6</v>
      </c>
      <c r="U105">
        <v>4</v>
      </c>
      <c r="V105">
        <v>12</v>
      </c>
      <c r="W105">
        <v>8</v>
      </c>
      <c r="X105">
        <v>9</v>
      </c>
      <c r="Y105">
        <v>7</v>
      </c>
      <c r="Z105">
        <v>3</v>
      </c>
      <c r="AA105">
        <v>5</v>
      </c>
      <c r="AB105">
        <v>4</v>
      </c>
      <c r="AC105" s="18">
        <f>SUMPRODUCT(OG_Data!D$1:S$1, M105:AB105) /SUM(M105:AB105)</f>
        <v>7.5</v>
      </c>
      <c r="AD105">
        <f t="shared" si="5"/>
        <v>118</v>
      </c>
      <c r="AE105">
        <v>0</v>
      </c>
      <c r="AF105">
        <v>6</v>
      </c>
      <c r="AG105">
        <v>20</v>
      </c>
      <c r="AH105">
        <f>Table3[[#This Row],[Flies_per_Vial]]*Table3[[#This Row],[Vials_Total_UsedInMaze]]</f>
        <v>120</v>
      </c>
      <c r="AI105">
        <f>Table3[[#This Row],[total_Flies]]/Table3[[#This Row],[flies_in]]</f>
        <v>0.98333333333333328</v>
      </c>
      <c r="AJ105"/>
      <c r="AK105" s="31">
        <f t="shared" si="7"/>
        <v>12.516666666666667</v>
      </c>
      <c r="AL105" s="31">
        <f t="shared" si="6"/>
        <v>17.283333333333331</v>
      </c>
      <c r="AM105" s="31">
        <f>Table3[[#This Row],[end_time_num]]-Table3[[#This Row],[start_time_num]]</f>
        <v>4.7666666666666639</v>
      </c>
    </row>
    <row r="106" spans="1:39" x14ac:dyDescent="0.35">
      <c r="A106">
        <v>6</v>
      </c>
      <c r="B106">
        <v>1</v>
      </c>
      <c r="C106" t="s">
        <v>155</v>
      </c>
      <c r="D106" t="s">
        <v>120</v>
      </c>
      <c r="E106" s="2">
        <v>0.52152777777777781</v>
      </c>
      <c r="F106" s="2">
        <v>0.71250000000000002</v>
      </c>
      <c r="G106" s="13">
        <v>0.19097222222222221</v>
      </c>
      <c r="H106" s="28" t="s">
        <v>136</v>
      </c>
      <c r="I106" t="s">
        <v>6</v>
      </c>
      <c r="J106">
        <v>2</v>
      </c>
      <c r="K106" t="s">
        <v>2</v>
      </c>
      <c r="L106" s="14" t="s">
        <v>3</v>
      </c>
      <c r="M106">
        <v>5</v>
      </c>
      <c r="N106">
        <v>13</v>
      </c>
      <c r="O106">
        <v>11</v>
      </c>
      <c r="P106">
        <v>18</v>
      </c>
      <c r="Q106">
        <v>10</v>
      </c>
      <c r="R106">
        <v>8</v>
      </c>
      <c r="S106">
        <v>5</v>
      </c>
      <c r="T106">
        <v>5</v>
      </c>
      <c r="U106">
        <v>4</v>
      </c>
      <c r="V106">
        <v>9</v>
      </c>
      <c r="W106">
        <v>6</v>
      </c>
      <c r="X106">
        <v>5</v>
      </c>
      <c r="Y106">
        <v>3</v>
      </c>
      <c r="Z106">
        <v>0</v>
      </c>
      <c r="AA106">
        <v>2</v>
      </c>
      <c r="AB106">
        <v>0</v>
      </c>
      <c r="AC106" s="18">
        <f>SUMPRODUCT(OG_Data!D$1:S$1, M106:AB106) /SUM(M106:AB106)</f>
        <v>6.0576923076923075</v>
      </c>
      <c r="AD106">
        <f t="shared" si="5"/>
        <v>104</v>
      </c>
      <c r="AE106">
        <v>0</v>
      </c>
      <c r="AF106">
        <v>6</v>
      </c>
      <c r="AG106">
        <v>20</v>
      </c>
      <c r="AH106">
        <f>Table3[[#This Row],[Flies_per_Vial]]*Table3[[#This Row],[Vials_Total_UsedInMaze]]</f>
        <v>120</v>
      </c>
      <c r="AI106">
        <f>Table3[[#This Row],[total_Flies]]/Table3[[#This Row],[flies_in]]</f>
        <v>0.8666666666666667</v>
      </c>
      <c r="AJ106"/>
      <c r="AK106" s="31">
        <f t="shared" si="7"/>
        <v>12.516666666666667</v>
      </c>
      <c r="AL106" s="31">
        <f t="shared" si="6"/>
        <v>17.100000000000001</v>
      </c>
      <c r="AM106" s="31">
        <f>Table3[[#This Row],[end_time_num]]-Table3[[#This Row],[start_time_num]]</f>
        <v>4.5833333333333339</v>
      </c>
    </row>
    <row r="107" spans="1:39" x14ac:dyDescent="0.35">
      <c r="A107">
        <v>6</v>
      </c>
      <c r="B107">
        <v>1</v>
      </c>
      <c r="C107" t="s">
        <v>155</v>
      </c>
      <c r="D107" t="s">
        <v>120</v>
      </c>
      <c r="E107" s="2">
        <v>0.52152777777777781</v>
      </c>
      <c r="F107" s="2">
        <v>0.70486111111111116</v>
      </c>
      <c r="G107" s="13">
        <v>0.18333333333333335</v>
      </c>
      <c r="H107" s="28" t="s">
        <v>136</v>
      </c>
      <c r="I107" t="s">
        <v>6</v>
      </c>
      <c r="J107">
        <v>2</v>
      </c>
      <c r="K107" t="s">
        <v>1</v>
      </c>
      <c r="L107" s="14" t="s">
        <v>0</v>
      </c>
      <c r="M107">
        <v>3</v>
      </c>
      <c r="N107">
        <v>15</v>
      </c>
      <c r="O107">
        <v>8</v>
      </c>
      <c r="P107">
        <v>16</v>
      </c>
      <c r="Q107">
        <v>17</v>
      </c>
      <c r="R107">
        <v>11</v>
      </c>
      <c r="S107">
        <v>16</v>
      </c>
      <c r="T107">
        <v>13</v>
      </c>
      <c r="U107">
        <v>5</v>
      </c>
      <c r="V107">
        <v>7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 s="18">
        <f>SUMPRODUCT(OG_Data!D$1:S$1, M107:AB107) /SUM(M107:AB107)</f>
        <v>5.4821428571428568</v>
      </c>
      <c r="AD107">
        <f t="shared" si="5"/>
        <v>112</v>
      </c>
      <c r="AE107">
        <v>0</v>
      </c>
      <c r="AF107">
        <v>6</v>
      </c>
      <c r="AG107">
        <v>20</v>
      </c>
      <c r="AH107">
        <f>Table3[[#This Row],[Flies_per_Vial]]*Table3[[#This Row],[Vials_Total_UsedInMaze]]</f>
        <v>120</v>
      </c>
      <c r="AI107">
        <f>Table3[[#This Row],[total_Flies]]/Table3[[#This Row],[flies_in]]</f>
        <v>0.93333333333333335</v>
      </c>
      <c r="AJ107"/>
      <c r="AK107" s="31">
        <f t="shared" si="7"/>
        <v>12.516666666666667</v>
      </c>
      <c r="AL107" s="31">
        <f t="shared" si="6"/>
        <v>16.916666666666668</v>
      </c>
      <c r="AM107" s="31">
        <f>Table3[[#This Row],[end_time_num]]-Table3[[#This Row],[start_time_num]]</f>
        <v>4.4000000000000004</v>
      </c>
    </row>
    <row r="108" spans="1:39" x14ac:dyDescent="0.35">
      <c r="A108">
        <v>6</v>
      </c>
      <c r="B108">
        <v>2</v>
      </c>
      <c r="C108" t="s">
        <v>154</v>
      </c>
      <c r="D108" t="s">
        <v>121</v>
      </c>
      <c r="E108" s="2">
        <v>0.38541666666666669</v>
      </c>
      <c r="F108" s="2">
        <v>0.52638888888888891</v>
      </c>
      <c r="G108" s="13">
        <v>0.14097222222222222</v>
      </c>
      <c r="H108" s="28" t="s">
        <v>136</v>
      </c>
      <c r="I108" t="s">
        <v>6</v>
      </c>
      <c r="J108">
        <v>3</v>
      </c>
      <c r="K108" t="s">
        <v>5</v>
      </c>
      <c r="L108" s="14" t="s">
        <v>0</v>
      </c>
      <c r="M108">
        <v>1</v>
      </c>
      <c r="N108">
        <v>1</v>
      </c>
      <c r="O108">
        <v>2</v>
      </c>
      <c r="P108">
        <v>0</v>
      </c>
      <c r="Q108">
        <v>12</v>
      </c>
      <c r="R108">
        <v>4</v>
      </c>
      <c r="S108">
        <v>9</v>
      </c>
      <c r="T108">
        <v>16</v>
      </c>
      <c r="U108">
        <v>3</v>
      </c>
      <c r="V108">
        <v>12</v>
      </c>
      <c r="W108">
        <v>26</v>
      </c>
      <c r="X108">
        <v>4</v>
      </c>
      <c r="Y108">
        <v>4</v>
      </c>
      <c r="Z108">
        <v>6</v>
      </c>
      <c r="AA108">
        <v>10</v>
      </c>
      <c r="AB108">
        <v>6</v>
      </c>
      <c r="AC108" s="18">
        <f>SUMPRODUCT(OG_Data!D$1:S$1, M108:AB108) /SUM(M108:AB108)</f>
        <v>9.887931034482758</v>
      </c>
      <c r="AD108">
        <f t="shared" si="5"/>
        <v>116</v>
      </c>
      <c r="AE108">
        <v>0</v>
      </c>
      <c r="AF108">
        <v>6</v>
      </c>
      <c r="AG108">
        <v>20</v>
      </c>
      <c r="AH108">
        <f>Table3[[#This Row],[Flies_per_Vial]]*Table3[[#This Row],[Vials_Total_UsedInMaze]]</f>
        <v>120</v>
      </c>
      <c r="AI108">
        <f>Table3[[#This Row],[total_Flies]]/Table3[[#This Row],[flies_in]]</f>
        <v>0.96666666666666667</v>
      </c>
      <c r="AJ108"/>
      <c r="AK108" s="31">
        <f t="shared" si="7"/>
        <v>9.25</v>
      </c>
      <c r="AL108" s="31">
        <f t="shared" ref="AL108:AL139" si="8">24*F108</f>
        <v>12.633333333333333</v>
      </c>
      <c r="AM108" s="31">
        <f>Table3[[#This Row],[end_time_num]]-Table3[[#This Row],[start_time_num]]</f>
        <v>3.3833333333333329</v>
      </c>
    </row>
    <row r="109" spans="1:39" x14ac:dyDescent="0.35">
      <c r="A109">
        <v>6</v>
      </c>
      <c r="B109">
        <v>2</v>
      </c>
      <c r="C109" t="s">
        <v>154</v>
      </c>
      <c r="D109" t="s">
        <v>121</v>
      </c>
      <c r="E109" s="2">
        <v>0.38541666666666669</v>
      </c>
      <c r="F109" s="2">
        <v>0.53541666666666665</v>
      </c>
      <c r="G109" s="13">
        <v>0.14999999999999997</v>
      </c>
      <c r="H109" s="28" t="s">
        <v>136</v>
      </c>
      <c r="I109" t="s">
        <v>6</v>
      </c>
      <c r="J109">
        <v>3</v>
      </c>
      <c r="K109" t="s">
        <v>4</v>
      </c>
      <c r="L109" s="14" t="s">
        <v>3</v>
      </c>
      <c r="M109">
        <v>4</v>
      </c>
      <c r="N109">
        <v>7</v>
      </c>
      <c r="O109">
        <v>4</v>
      </c>
      <c r="P109">
        <v>15</v>
      </c>
      <c r="Q109">
        <v>1</v>
      </c>
      <c r="R109">
        <v>2</v>
      </c>
      <c r="S109">
        <v>5</v>
      </c>
      <c r="T109">
        <v>12</v>
      </c>
      <c r="U109">
        <v>6</v>
      </c>
      <c r="V109">
        <v>3</v>
      </c>
      <c r="W109">
        <v>8</v>
      </c>
      <c r="X109">
        <v>6</v>
      </c>
      <c r="Y109">
        <v>2</v>
      </c>
      <c r="Z109">
        <v>8</v>
      </c>
      <c r="AA109">
        <v>3</v>
      </c>
      <c r="AB109">
        <v>2</v>
      </c>
      <c r="AC109" s="18">
        <f>SUMPRODUCT(OG_Data!D$1:S$1, M109:AB109) /SUM(M109:AB109)</f>
        <v>7.9204545454545459</v>
      </c>
      <c r="AD109">
        <f t="shared" si="5"/>
        <v>88</v>
      </c>
      <c r="AE109">
        <v>0</v>
      </c>
      <c r="AF109">
        <v>6</v>
      </c>
      <c r="AG109">
        <v>20</v>
      </c>
      <c r="AH109">
        <f>Table3[[#This Row],[Flies_per_Vial]]*Table3[[#This Row],[Vials_Total_UsedInMaze]]</f>
        <v>120</v>
      </c>
      <c r="AI109">
        <f>Table3[[#This Row],[total_Flies]]/Table3[[#This Row],[flies_in]]</f>
        <v>0.73333333333333328</v>
      </c>
      <c r="AJ109"/>
      <c r="AK109" s="31">
        <f t="shared" si="7"/>
        <v>9.25</v>
      </c>
      <c r="AL109" s="31">
        <f t="shared" si="8"/>
        <v>12.85</v>
      </c>
      <c r="AM109" s="31">
        <f>Table3[[#This Row],[end_time_num]]-Table3[[#This Row],[start_time_num]]</f>
        <v>3.5999999999999996</v>
      </c>
    </row>
    <row r="110" spans="1:39" x14ac:dyDescent="0.35">
      <c r="A110">
        <v>6</v>
      </c>
      <c r="B110">
        <v>2</v>
      </c>
      <c r="C110" t="s">
        <v>154</v>
      </c>
      <c r="D110" t="s">
        <v>121</v>
      </c>
      <c r="E110" s="2">
        <v>0.38541666666666669</v>
      </c>
      <c r="F110" s="2">
        <v>0.5444444444444444</v>
      </c>
      <c r="G110" s="13">
        <v>0.15902777777777771</v>
      </c>
      <c r="H110" s="28" t="s">
        <v>136</v>
      </c>
      <c r="I110" t="s">
        <v>6</v>
      </c>
      <c r="J110">
        <v>3</v>
      </c>
      <c r="K110" t="s">
        <v>2</v>
      </c>
      <c r="L110" s="14" t="s">
        <v>3</v>
      </c>
      <c r="M110">
        <v>4</v>
      </c>
      <c r="N110">
        <v>6</v>
      </c>
      <c r="O110">
        <v>8</v>
      </c>
      <c r="P110">
        <v>6</v>
      </c>
      <c r="Q110">
        <v>3</v>
      </c>
      <c r="R110">
        <v>0</v>
      </c>
      <c r="S110">
        <v>6</v>
      </c>
      <c r="T110">
        <v>5</v>
      </c>
      <c r="U110">
        <v>2</v>
      </c>
      <c r="V110">
        <v>5</v>
      </c>
      <c r="W110">
        <v>5</v>
      </c>
      <c r="X110">
        <v>6</v>
      </c>
      <c r="Y110">
        <v>3</v>
      </c>
      <c r="Z110">
        <v>1</v>
      </c>
      <c r="AA110">
        <v>0</v>
      </c>
      <c r="AB110">
        <v>0</v>
      </c>
      <c r="AC110" s="18">
        <f>SUMPRODUCT(OG_Data!D$1:S$1, M110:AB110) /SUM(M110:AB110)</f>
        <v>6.8166666666666664</v>
      </c>
      <c r="AD110">
        <f t="shared" si="5"/>
        <v>60</v>
      </c>
      <c r="AE110">
        <v>0</v>
      </c>
      <c r="AF110">
        <v>6</v>
      </c>
      <c r="AG110">
        <v>20</v>
      </c>
      <c r="AH110">
        <f>Table3[[#This Row],[Flies_per_Vial]]*Table3[[#This Row],[Vials_Total_UsedInMaze]]</f>
        <v>120</v>
      </c>
      <c r="AI110">
        <f>Table3[[#This Row],[total_Flies]]/Table3[[#This Row],[flies_in]]</f>
        <v>0.5</v>
      </c>
      <c r="AJ110"/>
      <c r="AK110" s="31">
        <f t="shared" si="7"/>
        <v>9.25</v>
      </c>
      <c r="AL110" s="31">
        <f t="shared" si="8"/>
        <v>13.066666666666666</v>
      </c>
      <c r="AM110" s="31">
        <f>Table3[[#This Row],[end_time_num]]-Table3[[#This Row],[start_time_num]]</f>
        <v>3.8166666666666664</v>
      </c>
    </row>
    <row r="111" spans="1:39" x14ac:dyDescent="0.35">
      <c r="A111">
        <v>6</v>
      </c>
      <c r="B111">
        <v>2</v>
      </c>
      <c r="C111" t="s">
        <v>154</v>
      </c>
      <c r="D111" t="s">
        <v>121</v>
      </c>
      <c r="E111" s="2">
        <v>0.38541666666666669</v>
      </c>
      <c r="F111" s="2">
        <v>0.55208333333333337</v>
      </c>
      <c r="G111" s="13">
        <v>0.16666666666666669</v>
      </c>
      <c r="H111" s="28" t="s">
        <v>136</v>
      </c>
      <c r="I111" t="s">
        <v>6</v>
      </c>
      <c r="J111">
        <v>3</v>
      </c>
      <c r="K111" t="s">
        <v>1</v>
      </c>
      <c r="L111" s="14" t="s">
        <v>0</v>
      </c>
      <c r="M111">
        <v>7</v>
      </c>
      <c r="N111">
        <v>11</v>
      </c>
      <c r="O111">
        <v>19</v>
      </c>
      <c r="P111">
        <v>13</v>
      </c>
      <c r="Q111">
        <v>6</v>
      </c>
      <c r="R111">
        <v>17</v>
      </c>
      <c r="S111">
        <v>5</v>
      </c>
      <c r="T111">
        <v>9</v>
      </c>
      <c r="U111">
        <v>7</v>
      </c>
      <c r="V111">
        <v>2</v>
      </c>
      <c r="W111">
        <v>2</v>
      </c>
      <c r="X111">
        <v>0</v>
      </c>
      <c r="Y111">
        <v>1</v>
      </c>
      <c r="Z111">
        <v>3</v>
      </c>
      <c r="AA111">
        <v>0</v>
      </c>
      <c r="AB111">
        <v>0</v>
      </c>
      <c r="AC111" s="18">
        <f>SUMPRODUCT(OG_Data!D$1:S$1, M111:AB111) /SUM(M111:AB111)</f>
        <v>5.2647058823529411</v>
      </c>
      <c r="AD111">
        <f t="shared" si="5"/>
        <v>102</v>
      </c>
      <c r="AE111">
        <v>1</v>
      </c>
      <c r="AF111">
        <v>6</v>
      </c>
      <c r="AG111">
        <v>20</v>
      </c>
      <c r="AH111">
        <f>Table3[[#This Row],[Flies_per_Vial]]*Table3[[#This Row],[Vials_Total_UsedInMaze]]</f>
        <v>120</v>
      </c>
      <c r="AI111">
        <f>Table3[[#This Row],[total_Flies]]/Table3[[#This Row],[flies_in]]</f>
        <v>0.85</v>
      </c>
      <c r="AJ111"/>
      <c r="AK111" s="31">
        <f t="shared" si="7"/>
        <v>9.25</v>
      </c>
      <c r="AL111" s="31">
        <f t="shared" si="8"/>
        <v>13.25</v>
      </c>
      <c r="AM111" s="31">
        <f>Table3[[#This Row],[end_time_num]]-Table3[[#This Row],[start_time_num]]</f>
        <v>4</v>
      </c>
    </row>
    <row r="112" spans="1:39" x14ac:dyDescent="0.35">
      <c r="A112">
        <v>6</v>
      </c>
      <c r="B112">
        <v>2</v>
      </c>
      <c r="C112" t="s">
        <v>155</v>
      </c>
      <c r="D112" t="s">
        <v>121</v>
      </c>
      <c r="E112" s="2">
        <v>0.62013888888888891</v>
      </c>
      <c r="F112" s="2">
        <v>0.76736111111111116</v>
      </c>
      <c r="G112" s="13">
        <v>0.14722222222222225</v>
      </c>
      <c r="H112" s="28" t="s">
        <v>136</v>
      </c>
      <c r="I112" t="s">
        <v>6</v>
      </c>
      <c r="J112">
        <v>4</v>
      </c>
      <c r="K112" t="s">
        <v>5</v>
      </c>
      <c r="L112" s="14" t="s">
        <v>0</v>
      </c>
      <c r="M112">
        <v>2</v>
      </c>
      <c r="N112">
        <v>0</v>
      </c>
      <c r="O112">
        <v>0</v>
      </c>
      <c r="P112">
        <v>0</v>
      </c>
      <c r="Q112">
        <v>7</v>
      </c>
      <c r="R112">
        <v>4</v>
      </c>
      <c r="S112">
        <v>5</v>
      </c>
      <c r="T112">
        <v>8</v>
      </c>
      <c r="U112">
        <v>8</v>
      </c>
      <c r="V112">
        <v>5</v>
      </c>
      <c r="W112">
        <v>6</v>
      </c>
      <c r="X112">
        <v>3</v>
      </c>
      <c r="Y112">
        <v>2</v>
      </c>
      <c r="Z112">
        <v>8</v>
      </c>
      <c r="AA112">
        <v>17</v>
      </c>
      <c r="AB112">
        <v>14</v>
      </c>
      <c r="AC112" s="18">
        <f>SUMPRODUCT(OG_Data!D$1:S$1, M112:AB112) /SUM(M112:AB112)</f>
        <v>11.247191011235955</v>
      </c>
      <c r="AD112">
        <f t="shared" si="5"/>
        <v>89</v>
      </c>
      <c r="AE112">
        <v>0</v>
      </c>
      <c r="AF112">
        <v>6</v>
      </c>
      <c r="AG112">
        <v>20</v>
      </c>
      <c r="AH112">
        <f>Table3[[#This Row],[Flies_per_Vial]]*Table3[[#This Row],[Vials_Total_UsedInMaze]]</f>
        <v>120</v>
      </c>
      <c r="AI112">
        <f>Table3[[#This Row],[total_Flies]]/Table3[[#This Row],[flies_in]]</f>
        <v>0.7416666666666667</v>
      </c>
      <c r="AJ112"/>
      <c r="AK112" s="31">
        <f t="shared" si="7"/>
        <v>14.883333333333333</v>
      </c>
      <c r="AL112" s="31">
        <f t="shared" si="8"/>
        <v>18.416666666666668</v>
      </c>
      <c r="AM112" s="31">
        <f>Table3[[#This Row],[end_time_num]]-Table3[[#This Row],[start_time_num]]</f>
        <v>3.533333333333335</v>
      </c>
    </row>
    <row r="113" spans="1:39" x14ac:dyDescent="0.35">
      <c r="A113">
        <v>6</v>
      </c>
      <c r="B113">
        <v>2</v>
      </c>
      <c r="C113" t="s">
        <v>155</v>
      </c>
      <c r="D113" t="s">
        <v>121</v>
      </c>
      <c r="E113" s="2">
        <v>0.62013888888888891</v>
      </c>
      <c r="F113" s="2">
        <v>0.76180555555555551</v>
      </c>
      <c r="G113" s="13">
        <v>0.14166666666666661</v>
      </c>
      <c r="H113" s="28" t="s">
        <v>136</v>
      </c>
      <c r="I113" t="s">
        <v>6</v>
      </c>
      <c r="J113">
        <v>4</v>
      </c>
      <c r="K113" t="s">
        <v>4</v>
      </c>
      <c r="L113" s="14" t="s">
        <v>3</v>
      </c>
      <c r="M113">
        <v>7</v>
      </c>
      <c r="N113">
        <v>11</v>
      </c>
      <c r="O113">
        <v>3</v>
      </c>
      <c r="P113">
        <v>0</v>
      </c>
      <c r="Q113">
        <v>5</v>
      </c>
      <c r="R113">
        <v>4</v>
      </c>
      <c r="S113">
        <v>9</v>
      </c>
      <c r="T113">
        <v>11</v>
      </c>
      <c r="U113">
        <v>5</v>
      </c>
      <c r="V113">
        <v>3</v>
      </c>
      <c r="W113">
        <v>3</v>
      </c>
      <c r="X113">
        <v>3</v>
      </c>
      <c r="Y113">
        <v>2</v>
      </c>
      <c r="Z113">
        <v>1</v>
      </c>
      <c r="AA113">
        <v>0</v>
      </c>
      <c r="AB113">
        <v>2</v>
      </c>
      <c r="AC113" s="18">
        <f>SUMPRODUCT(OG_Data!D$1:S$1, M113:AB113) /SUM(M113:AB113)</f>
        <v>6.5797101449275361</v>
      </c>
      <c r="AD113">
        <f t="shared" si="5"/>
        <v>69</v>
      </c>
      <c r="AE113">
        <v>0</v>
      </c>
      <c r="AF113">
        <v>6</v>
      </c>
      <c r="AG113">
        <v>20</v>
      </c>
      <c r="AH113">
        <f>Table3[[#This Row],[Flies_per_Vial]]*Table3[[#This Row],[Vials_Total_UsedInMaze]]</f>
        <v>120</v>
      </c>
      <c r="AI113">
        <f>Table3[[#This Row],[total_Flies]]/Table3[[#This Row],[flies_in]]</f>
        <v>0.57499999999999996</v>
      </c>
      <c r="AJ113"/>
      <c r="AK113" s="31">
        <f t="shared" si="7"/>
        <v>14.883333333333333</v>
      </c>
      <c r="AL113" s="31">
        <f t="shared" si="8"/>
        <v>18.283333333333331</v>
      </c>
      <c r="AM113" s="31">
        <f>Table3[[#This Row],[end_time_num]]-Table3[[#This Row],[start_time_num]]</f>
        <v>3.3999999999999986</v>
      </c>
    </row>
    <row r="114" spans="1:39" x14ac:dyDescent="0.35">
      <c r="A114">
        <v>6</v>
      </c>
      <c r="B114">
        <v>2</v>
      </c>
      <c r="C114" t="s">
        <v>155</v>
      </c>
      <c r="D114" t="s">
        <v>121</v>
      </c>
      <c r="E114" s="2">
        <v>0.62013888888888891</v>
      </c>
      <c r="F114" s="2">
        <v>0.75347222222222221</v>
      </c>
      <c r="G114" s="13">
        <v>0.1333333333333333</v>
      </c>
      <c r="H114" s="28" t="s">
        <v>136</v>
      </c>
      <c r="I114" t="s">
        <v>6</v>
      </c>
      <c r="J114">
        <v>4</v>
      </c>
      <c r="K114" t="s">
        <v>2</v>
      </c>
      <c r="L114" s="14" t="s">
        <v>3</v>
      </c>
      <c r="M114">
        <v>9</v>
      </c>
      <c r="N114">
        <v>9</v>
      </c>
      <c r="O114">
        <v>11</v>
      </c>
      <c r="P114">
        <v>6</v>
      </c>
      <c r="Q114">
        <v>2</v>
      </c>
      <c r="R114">
        <v>4</v>
      </c>
      <c r="S114">
        <v>2</v>
      </c>
      <c r="T114">
        <v>5</v>
      </c>
      <c r="U114">
        <v>1</v>
      </c>
      <c r="V114">
        <v>13</v>
      </c>
      <c r="W114">
        <v>6</v>
      </c>
      <c r="X114">
        <v>6</v>
      </c>
      <c r="Y114">
        <v>5</v>
      </c>
      <c r="Z114">
        <v>3</v>
      </c>
      <c r="AA114">
        <v>0</v>
      </c>
      <c r="AB114">
        <v>0</v>
      </c>
      <c r="AC114" s="18">
        <f>SUMPRODUCT(OG_Data!D$1:S$1, M114:AB114) /SUM(M114:AB114)</f>
        <v>6.7804878048780486</v>
      </c>
      <c r="AD114">
        <f t="shared" si="5"/>
        <v>82</v>
      </c>
      <c r="AE114">
        <v>0</v>
      </c>
      <c r="AF114">
        <v>6</v>
      </c>
      <c r="AG114">
        <v>20</v>
      </c>
      <c r="AH114">
        <f>Table3[[#This Row],[Flies_per_Vial]]*Table3[[#This Row],[Vials_Total_UsedInMaze]]</f>
        <v>120</v>
      </c>
      <c r="AI114">
        <f>Table3[[#This Row],[total_Flies]]/Table3[[#This Row],[flies_in]]</f>
        <v>0.68333333333333335</v>
      </c>
      <c r="AJ114"/>
      <c r="AK114" s="31">
        <f t="shared" si="7"/>
        <v>14.883333333333333</v>
      </c>
      <c r="AL114" s="31">
        <f t="shared" si="8"/>
        <v>18.083333333333332</v>
      </c>
      <c r="AM114" s="31">
        <f>Table3[[#This Row],[end_time_num]]-Table3[[#This Row],[start_time_num]]</f>
        <v>3.1999999999999993</v>
      </c>
    </row>
    <row r="115" spans="1:39" x14ac:dyDescent="0.35">
      <c r="A115">
        <v>6</v>
      </c>
      <c r="B115">
        <v>2</v>
      </c>
      <c r="C115" t="s">
        <v>155</v>
      </c>
      <c r="D115" t="s">
        <v>121</v>
      </c>
      <c r="E115" s="2">
        <v>0.62013888888888891</v>
      </c>
      <c r="F115" s="2">
        <v>0.74791666666666667</v>
      </c>
      <c r="G115" s="13">
        <v>0.12777777777777777</v>
      </c>
      <c r="H115" s="28" t="s">
        <v>136</v>
      </c>
      <c r="I115" t="s">
        <v>6</v>
      </c>
      <c r="J115">
        <v>4</v>
      </c>
      <c r="K115" t="s">
        <v>1</v>
      </c>
      <c r="L115" s="14" t="s">
        <v>0</v>
      </c>
      <c r="M115">
        <v>3</v>
      </c>
      <c r="N115">
        <v>3</v>
      </c>
      <c r="O115">
        <v>7</v>
      </c>
      <c r="P115">
        <v>5</v>
      </c>
      <c r="Q115">
        <v>13</v>
      </c>
      <c r="R115">
        <v>1</v>
      </c>
      <c r="S115">
        <v>1</v>
      </c>
      <c r="T115">
        <v>5</v>
      </c>
      <c r="U115">
        <v>3</v>
      </c>
      <c r="V115">
        <v>1</v>
      </c>
      <c r="W115">
        <v>3</v>
      </c>
      <c r="X115">
        <v>4</v>
      </c>
      <c r="Y115">
        <v>0</v>
      </c>
      <c r="Z115">
        <v>1</v>
      </c>
      <c r="AA115">
        <v>1</v>
      </c>
      <c r="AB115">
        <v>1</v>
      </c>
      <c r="AC115" s="18">
        <f>SUMPRODUCT(OG_Data!D$1:S$1, M115:AB115) /SUM(M115:AB115)</f>
        <v>6.365384615384615</v>
      </c>
      <c r="AD115">
        <f t="shared" si="5"/>
        <v>52</v>
      </c>
      <c r="AE115">
        <v>0</v>
      </c>
      <c r="AF115">
        <v>6</v>
      </c>
      <c r="AG115">
        <v>20</v>
      </c>
      <c r="AH115">
        <f>Table3[[#This Row],[Flies_per_Vial]]*Table3[[#This Row],[Vials_Total_UsedInMaze]]</f>
        <v>120</v>
      </c>
      <c r="AI115">
        <f>Table3[[#This Row],[total_Flies]]/Table3[[#This Row],[flies_in]]</f>
        <v>0.43333333333333335</v>
      </c>
      <c r="AJ115"/>
      <c r="AK115" s="31">
        <f t="shared" si="7"/>
        <v>14.883333333333333</v>
      </c>
      <c r="AL115" s="31">
        <f t="shared" si="8"/>
        <v>17.95</v>
      </c>
      <c r="AM115" s="31">
        <f>Table3[[#This Row],[end_time_num]]-Table3[[#This Row],[start_time_num]]</f>
        <v>3.0666666666666664</v>
      </c>
    </row>
    <row r="116" spans="1:39" s="4" customFormat="1" x14ac:dyDescent="0.35">
      <c r="A116" s="4">
        <v>7</v>
      </c>
      <c r="B116" s="4">
        <v>1</v>
      </c>
      <c r="C116" t="s">
        <v>154</v>
      </c>
      <c r="D116" s="4" t="s">
        <v>122</v>
      </c>
      <c r="E116" s="5">
        <v>0.375</v>
      </c>
      <c r="F116" s="5">
        <v>0.46319444444444446</v>
      </c>
      <c r="G116" s="12">
        <v>8.8194444444444464E-2</v>
      </c>
      <c r="H116" s="5" t="s">
        <v>136</v>
      </c>
      <c r="I116" s="4" t="s">
        <v>6</v>
      </c>
      <c r="J116" s="4">
        <v>2</v>
      </c>
      <c r="K116" s="4" t="s">
        <v>5</v>
      </c>
      <c r="L116" s="15" t="s">
        <v>3</v>
      </c>
      <c r="M116" s="4">
        <v>0</v>
      </c>
      <c r="N116" s="4">
        <v>0</v>
      </c>
      <c r="O116" s="4">
        <v>0</v>
      </c>
      <c r="P116" s="4">
        <v>1</v>
      </c>
      <c r="Q116" s="4">
        <v>4</v>
      </c>
      <c r="R116" s="4">
        <v>3</v>
      </c>
      <c r="S116" s="4">
        <v>4</v>
      </c>
      <c r="T116" s="4">
        <v>7</v>
      </c>
      <c r="U116" s="4">
        <v>4</v>
      </c>
      <c r="V116" s="4">
        <v>6</v>
      </c>
      <c r="W116" s="4">
        <v>4</v>
      </c>
      <c r="X116" s="4">
        <v>4</v>
      </c>
      <c r="Y116" s="4">
        <v>1</v>
      </c>
      <c r="Z116" s="4">
        <v>0</v>
      </c>
      <c r="AA116" s="4">
        <v>6</v>
      </c>
      <c r="AB116" s="4">
        <v>20</v>
      </c>
      <c r="AC116" s="17">
        <f>SUMPRODUCT(OG_Data!D$1:S$1, M116:AB116) /SUM(M116:AB116)</f>
        <v>11.515625</v>
      </c>
      <c r="AD116" s="4">
        <f t="shared" si="5"/>
        <v>64</v>
      </c>
      <c r="AE116" s="4">
        <v>0</v>
      </c>
      <c r="AF116" s="4">
        <v>6</v>
      </c>
      <c r="AG116">
        <v>20</v>
      </c>
      <c r="AH116">
        <f>Table3[[#This Row],[Flies_per_Vial]]*Table3[[#This Row],[Vials_Total_UsedInMaze]]</f>
        <v>120</v>
      </c>
      <c r="AI116">
        <f>Table3[[#This Row],[total_Flies]]/Table3[[#This Row],[flies_in]]</f>
        <v>0.53333333333333333</v>
      </c>
      <c r="AJ116"/>
      <c r="AK116" s="29">
        <f t="shared" si="7"/>
        <v>9</v>
      </c>
      <c r="AL116" s="29">
        <f t="shared" si="8"/>
        <v>11.116666666666667</v>
      </c>
      <c r="AM116" s="29">
        <f>Table3[[#This Row],[end_time_num]]-Table3[[#This Row],[start_time_num]]</f>
        <v>2.1166666666666671</v>
      </c>
    </row>
    <row r="117" spans="1:39" s="4" customFormat="1" x14ac:dyDescent="0.35">
      <c r="A117" s="4">
        <v>7</v>
      </c>
      <c r="B117" s="4">
        <v>1</v>
      </c>
      <c r="C117" t="s">
        <v>154</v>
      </c>
      <c r="D117" s="4" t="s">
        <v>122</v>
      </c>
      <c r="E117" s="5">
        <v>0.375</v>
      </c>
      <c r="F117" s="5">
        <v>0.47152777777777777</v>
      </c>
      <c r="G117" s="12">
        <v>9.6527777777777768E-2</v>
      </c>
      <c r="H117" s="5" t="s">
        <v>136</v>
      </c>
      <c r="I117" s="4" t="s">
        <v>6</v>
      </c>
      <c r="J117" s="4">
        <v>2</v>
      </c>
      <c r="K117" s="4" t="s">
        <v>4</v>
      </c>
      <c r="L117" s="15" t="s">
        <v>0</v>
      </c>
      <c r="M117" s="4">
        <v>9</v>
      </c>
      <c r="N117" s="4">
        <v>8</v>
      </c>
      <c r="O117" s="4">
        <v>3</v>
      </c>
      <c r="P117" s="4">
        <v>1</v>
      </c>
      <c r="Q117" s="4">
        <v>7</v>
      </c>
      <c r="R117" s="4">
        <v>5</v>
      </c>
      <c r="S117" s="4">
        <v>3</v>
      </c>
      <c r="T117" s="4">
        <v>4</v>
      </c>
      <c r="U117" s="4">
        <v>2</v>
      </c>
      <c r="V117" s="4">
        <v>4</v>
      </c>
      <c r="W117" s="4">
        <v>6</v>
      </c>
      <c r="X117" s="4">
        <v>12</v>
      </c>
      <c r="Y117" s="4">
        <v>3</v>
      </c>
      <c r="Z117" s="4">
        <v>3</v>
      </c>
      <c r="AA117" s="4">
        <v>3</v>
      </c>
      <c r="AB117" s="4">
        <v>2</v>
      </c>
      <c r="AC117" s="17">
        <f>SUMPRODUCT(OG_Data!D$1:S$1, M117:AB117) /SUM(M117:AB117)</f>
        <v>7.76</v>
      </c>
      <c r="AD117" s="4">
        <f t="shared" si="5"/>
        <v>75</v>
      </c>
      <c r="AE117" s="4">
        <v>0</v>
      </c>
      <c r="AF117" s="4">
        <v>6</v>
      </c>
      <c r="AG117">
        <v>20</v>
      </c>
      <c r="AH117">
        <f>Table3[[#This Row],[Flies_per_Vial]]*Table3[[#This Row],[Vials_Total_UsedInMaze]]</f>
        <v>120</v>
      </c>
      <c r="AI117">
        <f>Table3[[#This Row],[total_Flies]]/Table3[[#This Row],[flies_in]]</f>
        <v>0.625</v>
      </c>
      <c r="AJ117"/>
      <c r="AK117" s="29">
        <f t="shared" si="7"/>
        <v>9</v>
      </c>
      <c r="AL117" s="29">
        <f t="shared" si="8"/>
        <v>11.316666666666666</v>
      </c>
      <c r="AM117" s="29">
        <f>Table3[[#This Row],[end_time_num]]-Table3[[#This Row],[start_time_num]]</f>
        <v>2.3166666666666664</v>
      </c>
    </row>
    <row r="118" spans="1:39" s="4" customFormat="1" x14ac:dyDescent="0.35">
      <c r="A118" s="4">
        <v>7</v>
      </c>
      <c r="B118" s="4">
        <v>1</v>
      </c>
      <c r="C118" t="s">
        <v>154</v>
      </c>
      <c r="D118" s="4" t="s">
        <v>122</v>
      </c>
      <c r="E118" s="5">
        <v>0.375</v>
      </c>
      <c r="F118" s="5">
        <v>0.4777777777777778</v>
      </c>
      <c r="G118" s="12">
        <v>0.1027777777777778</v>
      </c>
      <c r="H118" s="5" t="s">
        <v>136</v>
      </c>
      <c r="I118" s="4" t="s">
        <v>6</v>
      </c>
      <c r="J118" s="4">
        <v>2</v>
      </c>
      <c r="K118" s="4" t="s">
        <v>2</v>
      </c>
      <c r="L118" s="15" t="s">
        <v>0</v>
      </c>
      <c r="M118" s="4">
        <v>6</v>
      </c>
      <c r="N118" s="4">
        <v>5</v>
      </c>
      <c r="O118" s="4">
        <v>21</v>
      </c>
      <c r="P118" s="4">
        <v>6</v>
      </c>
      <c r="Q118" s="4">
        <v>5</v>
      </c>
      <c r="R118" s="4">
        <v>8</v>
      </c>
      <c r="S118" s="4">
        <v>10</v>
      </c>
      <c r="T118" s="4">
        <v>3</v>
      </c>
      <c r="U118" s="4">
        <v>3</v>
      </c>
      <c r="V118" s="4">
        <v>6</v>
      </c>
      <c r="W118" s="4">
        <v>3</v>
      </c>
      <c r="X118" s="4">
        <v>0</v>
      </c>
      <c r="Y118" s="4">
        <v>0</v>
      </c>
      <c r="Z118" s="4">
        <v>1</v>
      </c>
      <c r="AA118" s="4">
        <v>0</v>
      </c>
      <c r="AB118" s="4">
        <v>2</v>
      </c>
      <c r="AC118" s="17">
        <f>SUMPRODUCT(OG_Data!D$1:S$1, M118:AB118) /SUM(M118:AB118)</f>
        <v>5.518987341772152</v>
      </c>
      <c r="AD118" s="4">
        <f t="shared" si="5"/>
        <v>79</v>
      </c>
      <c r="AE118" s="4">
        <v>0</v>
      </c>
      <c r="AF118" s="4">
        <v>6</v>
      </c>
      <c r="AG118">
        <v>20</v>
      </c>
      <c r="AH118">
        <f>Table3[[#This Row],[Flies_per_Vial]]*Table3[[#This Row],[Vials_Total_UsedInMaze]]</f>
        <v>120</v>
      </c>
      <c r="AI118">
        <f>Table3[[#This Row],[total_Flies]]/Table3[[#This Row],[flies_in]]</f>
        <v>0.65833333333333333</v>
      </c>
      <c r="AJ118"/>
      <c r="AK118" s="29">
        <f t="shared" si="7"/>
        <v>9</v>
      </c>
      <c r="AL118" s="29">
        <f t="shared" si="8"/>
        <v>11.466666666666667</v>
      </c>
      <c r="AM118" s="29">
        <f>Table3[[#This Row],[end_time_num]]-Table3[[#This Row],[start_time_num]]</f>
        <v>2.4666666666666668</v>
      </c>
    </row>
    <row r="119" spans="1:39" s="4" customFormat="1" x14ac:dyDescent="0.35">
      <c r="A119" s="4">
        <v>7</v>
      </c>
      <c r="B119" s="4">
        <v>1</v>
      </c>
      <c r="C119" t="s">
        <v>154</v>
      </c>
      <c r="D119" s="4" t="s">
        <v>122</v>
      </c>
      <c r="E119" s="5">
        <v>0.375</v>
      </c>
      <c r="F119" s="5">
        <v>0.4861111111111111</v>
      </c>
      <c r="G119" s="12">
        <v>0.1111111111111111</v>
      </c>
      <c r="H119" s="5" t="s">
        <v>136</v>
      </c>
      <c r="I119" s="4" t="s">
        <v>6</v>
      </c>
      <c r="J119" s="4">
        <v>2</v>
      </c>
      <c r="K119" s="4" t="s">
        <v>1</v>
      </c>
      <c r="L119" s="15" t="s">
        <v>3</v>
      </c>
      <c r="M119" s="4">
        <v>2</v>
      </c>
      <c r="N119" s="4">
        <v>1</v>
      </c>
      <c r="O119" s="4">
        <v>2</v>
      </c>
      <c r="P119" s="4">
        <v>6</v>
      </c>
      <c r="Q119" s="4">
        <v>4</v>
      </c>
      <c r="R119" s="4">
        <v>5</v>
      </c>
      <c r="S119" s="4">
        <v>2</v>
      </c>
      <c r="T119" s="4">
        <v>9</v>
      </c>
      <c r="U119" s="4">
        <v>2</v>
      </c>
      <c r="V119" s="4">
        <v>0</v>
      </c>
      <c r="W119" s="4">
        <v>4</v>
      </c>
      <c r="X119" s="4">
        <v>0</v>
      </c>
      <c r="Y119" s="4">
        <v>0</v>
      </c>
      <c r="Z119" s="4">
        <v>4</v>
      </c>
      <c r="AA119" s="4">
        <v>0</v>
      </c>
      <c r="AB119" s="4">
        <v>1</v>
      </c>
      <c r="AC119" s="17">
        <f>SUMPRODUCT(OG_Data!D$1:S$1, M119:AB119) /SUM(M119:AB119)</f>
        <v>7.2380952380952381</v>
      </c>
      <c r="AD119" s="4">
        <f t="shared" si="5"/>
        <v>42</v>
      </c>
      <c r="AE119" s="4">
        <v>0</v>
      </c>
      <c r="AF119" s="4">
        <v>6</v>
      </c>
      <c r="AG119">
        <v>20</v>
      </c>
      <c r="AH119">
        <f>Table3[[#This Row],[Flies_per_Vial]]*Table3[[#This Row],[Vials_Total_UsedInMaze]]</f>
        <v>120</v>
      </c>
      <c r="AI119">
        <f>Table3[[#This Row],[total_Flies]]/Table3[[#This Row],[flies_in]]</f>
        <v>0.35</v>
      </c>
      <c r="AJ119"/>
      <c r="AK119" s="29">
        <f t="shared" si="7"/>
        <v>9</v>
      </c>
      <c r="AL119" s="29">
        <f t="shared" si="8"/>
        <v>11.666666666666666</v>
      </c>
      <c r="AM119" s="29">
        <f>Table3[[#This Row],[end_time_num]]-Table3[[#This Row],[start_time_num]]</f>
        <v>2.6666666666666661</v>
      </c>
    </row>
    <row r="120" spans="1:39" s="4" customFormat="1" x14ac:dyDescent="0.35">
      <c r="A120" s="4">
        <v>7</v>
      </c>
      <c r="B120" s="4">
        <v>1</v>
      </c>
      <c r="C120" t="s">
        <v>155</v>
      </c>
      <c r="D120" s="4" t="s">
        <v>122</v>
      </c>
      <c r="E120" s="5">
        <v>0.51180555555555551</v>
      </c>
      <c r="F120" s="5">
        <v>0.66666666666666663</v>
      </c>
      <c r="G120" s="12">
        <v>0.15486111111111112</v>
      </c>
      <c r="H120" s="5" t="s">
        <v>136</v>
      </c>
      <c r="I120" s="4" t="s">
        <v>6</v>
      </c>
      <c r="J120" s="4">
        <v>1</v>
      </c>
      <c r="K120" s="4" t="s">
        <v>5</v>
      </c>
      <c r="L120" s="15" t="s">
        <v>3</v>
      </c>
      <c r="M120" s="4">
        <v>0</v>
      </c>
      <c r="N120" s="4">
        <v>1</v>
      </c>
      <c r="O120" s="4">
        <v>1</v>
      </c>
      <c r="P120" s="4">
        <v>2</v>
      </c>
      <c r="Q120" s="4">
        <v>2</v>
      </c>
      <c r="R120" s="4">
        <v>2</v>
      </c>
      <c r="S120" s="4">
        <v>5</v>
      </c>
      <c r="T120" s="4">
        <v>13</v>
      </c>
      <c r="U120" s="4">
        <v>12</v>
      </c>
      <c r="V120" s="4">
        <v>4</v>
      </c>
      <c r="W120" s="4">
        <v>10</v>
      </c>
      <c r="X120" s="4">
        <v>4</v>
      </c>
      <c r="Y120" s="4">
        <v>4</v>
      </c>
      <c r="Z120" s="4">
        <v>1</v>
      </c>
      <c r="AA120" s="4">
        <v>4</v>
      </c>
      <c r="AB120" s="4">
        <v>13</v>
      </c>
      <c r="AC120" s="17">
        <f>SUMPRODUCT(OG_Data!D$1:S$1, M120:AB120) /SUM(M120:AB120)</f>
        <v>10.435897435897436</v>
      </c>
      <c r="AD120" s="4">
        <f t="shared" si="5"/>
        <v>78</v>
      </c>
      <c r="AE120" s="4">
        <v>0</v>
      </c>
      <c r="AF120" s="4">
        <v>6</v>
      </c>
      <c r="AG120">
        <v>20</v>
      </c>
      <c r="AH120">
        <f>Table3[[#This Row],[Flies_per_Vial]]*Table3[[#This Row],[Vials_Total_UsedInMaze]]</f>
        <v>120</v>
      </c>
      <c r="AI120">
        <f>Table3[[#This Row],[total_Flies]]/Table3[[#This Row],[flies_in]]</f>
        <v>0.65</v>
      </c>
      <c r="AJ120"/>
      <c r="AK120" s="29">
        <f t="shared" si="7"/>
        <v>12.283333333333331</v>
      </c>
      <c r="AL120" s="29">
        <f t="shared" si="8"/>
        <v>16</v>
      </c>
      <c r="AM120" s="29">
        <f>Table3[[#This Row],[end_time_num]]-Table3[[#This Row],[start_time_num]]</f>
        <v>3.7166666666666686</v>
      </c>
    </row>
    <row r="121" spans="1:39" s="4" customFormat="1" x14ac:dyDescent="0.35">
      <c r="A121" s="4">
        <v>7</v>
      </c>
      <c r="B121" s="4">
        <v>1</v>
      </c>
      <c r="C121" t="s">
        <v>155</v>
      </c>
      <c r="D121" s="4" t="s">
        <v>122</v>
      </c>
      <c r="E121" s="5">
        <v>0.51180555555555551</v>
      </c>
      <c r="F121" s="5">
        <v>0.6743055555555556</v>
      </c>
      <c r="G121" s="12">
        <v>0.16250000000000009</v>
      </c>
      <c r="H121" s="5" t="s">
        <v>136</v>
      </c>
      <c r="I121" s="4" t="s">
        <v>6</v>
      </c>
      <c r="J121" s="4">
        <v>1</v>
      </c>
      <c r="K121" s="4" t="s">
        <v>4</v>
      </c>
      <c r="L121" s="15" t="s">
        <v>0</v>
      </c>
      <c r="M121" s="4">
        <v>14</v>
      </c>
      <c r="N121" s="4">
        <v>8</v>
      </c>
      <c r="O121" s="4">
        <v>2</v>
      </c>
      <c r="P121" s="4">
        <v>3</v>
      </c>
      <c r="Q121" s="4">
        <v>6</v>
      </c>
      <c r="R121" s="4">
        <v>7</v>
      </c>
      <c r="S121" s="4">
        <v>3</v>
      </c>
      <c r="T121" s="4">
        <v>5</v>
      </c>
      <c r="U121" s="4">
        <v>2</v>
      </c>
      <c r="V121" s="4">
        <v>5</v>
      </c>
      <c r="W121" s="4">
        <v>2</v>
      </c>
      <c r="X121" s="4">
        <v>2</v>
      </c>
      <c r="Y121" s="4">
        <v>2</v>
      </c>
      <c r="Z121" s="4">
        <v>1</v>
      </c>
      <c r="AA121" s="4">
        <v>1</v>
      </c>
      <c r="AB121" s="4">
        <v>0</v>
      </c>
      <c r="AC121" s="17">
        <f>SUMPRODUCT(OG_Data!D$1:S$1, M121:AB121) /SUM(M121:AB121)</f>
        <v>5.5555555555555554</v>
      </c>
      <c r="AD121" s="4">
        <f t="shared" si="5"/>
        <v>63</v>
      </c>
      <c r="AE121" s="4">
        <v>0</v>
      </c>
      <c r="AF121" s="4">
        <v>6</v>
      </c>
      <c r="AG121">
        <v>20</v>
      </c>
      <c r="AH121">
        <f>Table3[[#This Row],[Flies_per_Vial]]*Table3[[#This Row],[Vials_Total_UsedInMaze]]</f>
        <v>120</v>
      </c>
      <c r="AI121">
        <f>Table3[[#This Row],[total_Flies]]/Table3[[#This Row],[flies_in]]</f>
        <v>0.52500000000000002</v>
      </c>
      <c r="AJ121"/>
      <c r="AK121" s="29">
        <f t="shared" si="7"/>
        <v>12.283333333333331</v>
      </c>
      <c r="AL121" s="29">
        <f t="shared" si="8"/>
        <v>16.183333333333334</v>
      </c>
      <c r="AM121" s="29">
        <f>Table3[[#This Row],[end_time_num]]-Table3[[#This Row],[start_time_num]]</f>
        <v>3.9000000000000021</v>
      </c>
    </row>
    <row r="122" spans="1:39" s="4" customFormat="1" x14ac:dyDescent="0.35">
      <c r="A122" s="4">
        <v>7</v>
      </c>
      <c r="B122" s="4">
        <v>1</v>
      </c>
      <c r="C122" t="s">
        <v>155</v>
      </c>
      <c r="D122" s="4" t="s">
        <v>122</v>
      </c>
      <c r="E122" s="5">
        <v>0.51180555555555551</v>
      </c>
      <c r="F122" s="5">
        <v>0.68333333333333335</v>
      </c>
      <c r="G122" s="12">
        <v>0.17152777777777783</v>
      </c>
      <c r="H122" s="5" t="s">
        <v>136</v>
      </c>
      <c r="I122" s="4" t="s">
        <v>6</v>
      </c>
      <c r="J122" s="4">
        <v>1</v>
      </c>
      <c r="K122" s="4" t="s">
        <v>2</v>
      </c>
      <c r="L122" s="15" t="s">
        <v>0</v>
      </c>
      <c r="M122" s="4">
        <v>7</v>
      </c>
      <c r="N122" s="4">
        <v>7</v>
      </c>
      <c r="O122" s="4">
        <v>19</v>
      </c>
      <c r="P122" s="4">
        <v>0</v>
      </c>
      <c r="Q122" s="4">
        <v>3</v>
      </c>
      <c r="R122" s="4">
        <v>7</v>
      </c>
      <c r="S122" s="4">
        <v>9</v>
      </c>
      <c r="T122" s="4">
        <v>10</v>
      </c>
      <c r="U122" s="4">
        <v>6</v>
      </c>
      <c r="V122" s="4">
        <v>7</v>
      </c>
      <c r="W122" s="4">
        <v>3</v>
      </c>
      <c r="X122" s="4">
        <v>1</v>
      </c>
      <c r="Y122" s="4">
        <v>0</v>
      </c>
      <c r="Z122" s="4">
        <v>0</v>
      </c>
      <c r="AA122" s="4">
        <v>0</v>
      </c>
      <c r="AB122" s="4">
        <v>0</v>
      </c>
      <c r="AC122" s="17">
        <f>SUMPRODUCT(OG_Data!D$1:S$1, M122:AB122) /SUM(M122:AB122)</f>
        <v>5.6582278481012658</v>
      </c>
      <c r="AD122" s="4">
        <f t="shared" si="5"/>
        <v>79</v>
      </c>
      <c r="AE122" s="4">
        <v>0</v>
      </c>
      <c r="AF122" s="4">
        <v>5</v>
      </c>
      <c r="AG122">
        <v>20</v>
      </c>
      <c r="AH122">
        <f>Table3[[#This Row],[Flies_per_Vial]]*Table3[[#This Row],[Vials_Total_UsedInMaze]]</f>
        <v>100</v>
      </c>
      <c r="AI122">
        <f>Table3[[#This Row],[total_Flies]]/Table3[[#This Row],[flies_in]]</f>
        <v>0.79</v>
      </c>
      <c r="AJ122"/>
      <c r="AK122" s="29">
        <f t="shared" si="7"/>
        <v>12.283333333333331</v>
      </c>
      <c r="AL122" s="29">
        <f t="shared" si="8"/>
        <v>16.399999999999999</v>
      </c>
      <c r="AM122" s="29">
        <f>Table3[[#This Row],[end_time_num]]-Table3[[#This Row],[start_time_num]]</f>
        <v>4.1166666666666671</v>
      </c>
    </row>
    <row r="123" spans="1:39" s="4" customFormat="1" x14ac:dyDescent="0.35">
      <c r="A123" s="4">
        <v>7</v>
      </c>
      <c r="B123" s="4">
        <v>1</v>
      </c>
      <c r="C123" t="s">
        <v>155</v>
      </c>
      <c r="D123" s="4" t="s">
        <v>122</v>
      </c>
      <c r="E123" s="5">
        <v>0.51180555555555551</v>
      </c>
      <c r="F123" s="5">
        <v>0.68958333333333333</v>
      </c>
      <c r="G123" s="12">
        <v>0.17777777777777781</v>
      </c>
      <c r="H123" s="5" t="s">
        <v>136</v>
      </c>
      <c r="I123" s="4" t="s">
        <v>6</v>
      </c>
      <c r="J123" s="4">
        <v>1</v>
      </c>
      <c r="K123" s="4" t="s">
        <v>1</v>
      </c>
      <c r="L123" s="15" t="s">
        <v>3</v>
      </c>
      <c r="M123" s="4">
        <v>2</v>
      </c>
      <c r="N123" s="4">
        <v>2</v>
      </c>
      <c r="O123" s="4">
        <v>14</v>
      </c>
      <c r="P123" s="4">
        <v>3</v>
      </c>
      <c r="Q123" s="4">
        <v>11</v>
      </c>
      <c r="R123" s="4">
        <v>6</v>
      </c>
      <c r="S123" s="4">
        <v>1</v>
      </c>
      <c r="T123" s="4">
        <v>11</v>
      </c>
      <c r="U123" s="4">
        <v>3</v>
      </c>
      <c r="V123" s="4">
        <v>9</v>
      </c>
      <c r="W123" s="4">
        <v>2</v>
      </c>
      <c r="X123" s="4">
        <v>2</v>
      </c>
      <c r="Y123" s="4">
        <v>0</v>
      </c>
      <c r="Z123" s="4">
        <v>4</v>
      </c>
      <c r="AA123" s="4">
        <v>0</v>
      </c>
      <c r="AB123" s="4">
        <v>0</v>
      </c>
      <c r="AC123" s="17">
        <f>SUMPRODUCT(OG_Data!D$1:S$1, M123:AB123) /SUM(M123:AB123)</f>
        <v>6.6428571428571432</v>
      </c>
      <c r="AD123" s="4">
        <f t="shared" si="5"/>
        <v>70</v>
      </c>
      <c r="AE123" s="4">
        <v>0</v>
      </c>
      <c r="AF123" s="4">
        <v>6</v>
      </c>
      <c r="AG123">
        <v>20</v>
      </c>
      <c r="AH123">
        <f>Table3[[#This Row],[Flies_per_Vial]]*Table3[[#This Row],[Vials_Total_UsedInMaze]]</f>
        <v>120</v>
      </c>
      <c r="AI123">
        <f>Table3[[#This Row],[total_Flies]]/Table3[[#This Row],[flies_in]]</f>
        <v>0.58333333333333337</v>
      </c>
      <c r="AJ123"/>
      <c r="AK123" s="29">
        <f t="shared" si="7"/>
        <v>12.283333333333331</v>
      </c>
      <c r="AL123" s="29">
        <f t="shared" si="8"/>
        <v>16.55</v>
      </c>
      <c r="AM123" s="29">
        <f>Table3[[#This Row],[end_time_num]]-Table3[[#This Row],[start_time_num]]</f>
        <v>4.2666666666666693</v>
      </c>
    </row>
    <row r="124" spans="1:39" s="4" customFormat="1" x14ac:dyDescent="0.35">
      <c r="A124" s="4">
        <v>7</v>
      </c>
      <c r="B124" s="4">
        <v>2</v>
      </c>
      <c r="C124" t="s">
        <v>154</v>
      </c>
      <c r="D124" s="4" t="s">
        <v>123</v>
      </c>
      <c r="E124" s="5">
        <v>0.38680555555555557</v>
      </c>
      <c r="F124" s="5">
        <v>0.49513888888888891</v>
      </c>
      <c r="G124" s="12">
        <v>0.10833333333333334</v>
      </c>
      <c r="H124" s="5" t="s">
        <v>136</v>
      </c>
      <c r="I124" s="4" t="s">
        <v>6</v>
      </c>
      <c r="J124" s="4">
        <v>4</v>
      </c>
      <c r="K124" s="4" t="s">
        <v>5</v>
      </c>
      <c r="L124" s="15" t="s">
        <v>3</v>
      </c>
      <c r="M124" s="4">
        <v>1</v>
      </c>
      <c r="N124" s="4">
        <v>2</v>
      </c>
      <c r="O124" s="4">
        <v>2</v>
      </c>
      <c r="P124" s="4">
        <v>0</v>
      </c>
      <c r="Q124" s="4">
        <v>8</v>
      </c>
      <c r="R124" s="4">
        <v>4</v>
      </c>
      <c r="S124" s="4">
        <v>4</v>
      </c>
      <c r="T124" s="4">
        <v>4</v>
      </c>
      <c r="U124" s="4">
        <v>3</v>
      </c>
      <c r="V124" s="4">
        <v>6</v>
      </c>
      <c r="W124" s="4">
        <v>2</v>
      </c>
      <c r="X124" s="4">
        <v>6</v>
      </c>
      <c r="Y124" s="4">
        <v>2</v>
      </c>
      <c r="Z124" s="4">
        <v>4</v>
      </c>
      <c r="AA124" s="4">
        <v>16</v>
      </c>
      <c r="AB124" s="4">
        <v>14</v>
      </c>
      <c r="AC124" s="17">
        <f>SUMPRODUCT(OG_Data!D$1:S$1, M124:AB124) /SUM(M124:AB124)</f>
        <v>11.051282051282051</v>
      </c>
      <c r="AD124" s="4">
        <f t="shared" si="5"/>
        <v>78</v>
      </c>
      <c r="AE124" s="4">
        <v>0</v>
      </c>
      <c r="AF124" s="4">
        <v>6</v>
      </c>
      <c r="AG124">
        <v>20</v>
      </c>
      <c r="AH124">
        <f>Table3[[#This Row],[Flies_per_Vial]]*Table3[[#This Row],[Vials_Total_UsedInMaze]]</f>
        <v>120</v>
      </c>
      <c r="AI124">
        <f>Table3[[#This Row],[total_Flies]]/Table3[[#This Row],[flies_in]]</f>
        <v>0.65</v>
      </c>
      <c r="AJ124"/>
      <c r="AK124" s="29">
        <f t="shared" ref="AK124:AK155" si="9">24*E124</f>
        <v>9.2833333333333332</v>
      </c>
      <c r="AL124" s="29">
        <f t="shared" si="8"/>
        <v>11.883333333333333</v>
      </c>
      <c r="AM124" s="29">
        <f>Table3[[#This Row],[end_time_num]]-Table3[[#This Row],[start_time_num]]</f>
        <v>2.5999999999999996</v>
      </c>
    </row>
    <row r="125" spans="1:39" s="4" customFormat="1" x14ac:dyDescent="0.35">
      <c r="A125" s="4">
        <v>7</v>
      </c>
      <c r="B125" s="4">
        <v>2</v>
      </c>
      <c r="C125" t="s">
        <v>154</v>
      </c>
      <c r="D125" s="4" t="s">
        <v>123</v>
      </c>
      <c r="E125" s="5">
        <v>0.38680555555555557</v>
      </c>
      <c r="F125" s="5">
        <v>0.48888888888888887</v>
      </c>
      <c r="G125" s="12">
        <v>0.1020833333333333</v>
      </c>
      <c r="H125" s="5" t="s">
        <v>136</v>
      </c>
      <c r="I125" s="4" t="s">
        <v>6</v>
      </c>
      <c r="J125" s="4">
        <v>4</v>
      </c>
      <c r="K125" s="4" t="s">
        <v>4</v>
      </c>
      <c r="L125" s="15" t="s">
        <v>0</v>
      </c>
      <c r="M125" s="4">
        <v>10</v>
      </c>
      <c r="N125" s="4">
        <v>4</v>
      </c>
      <c r="O125" s="4">
        <v>7</v>
      </c>
      <c r="P125" s="4">
        <v>5</v>
      </c>
      <c r="Q125" s="4">
        <v>2</v>
      </c>
      <c r="R125" s="4">
        <v>5</v>
      </c>
      <c r="S125" s="4">
        <v>5</v>
      </c>
      <c r="T125" s="4">
        <v>7</v>
      </c>
      <c r="U125" s="4">
        <v>10</v>
      </c>
      <c r="V125" s="4">
        <v>3</v>
      </c>
      <c r="W125" s="4">
        <v>6</v>
      </c>
      <c r="X125" s="4">
        <v>9</v>
      </c>
      <c r="Y125" s="4">
        <v>2</v>
      </c>
      <c r="Z125" s="4">
        <v>2</v>
      </c>
      <c r="AA125" s="4">
        <v>4</v>
      </c>
      <c r="AB125" s="4">
        <v>2</v>
      </c>
      <c r="AC125" s="17">
        <f>SUMPRODUCT(OG_Data!D$1:S$1, M125:AB125) /SUM(M125:AB125)</f>
        <v>7.5903614457831328</v>
      </c>
      <c r="AD125" s="4">
        <f t="shared" si="5"/>
        <v>83</v>
      </c>
      <c r="AE125" s="4">
        <v>0</v>
      </c>
      <c r="AF125" s="4">
        <v>6</v>
      </c>
      <c r="AG125">
        <v>20</v>
      </c>
      <c r="AH125">
        <f>Table3[[#This Row],[Flies_per_Vial]]*Table3[[#This Row],[Vials_Total_UsedInMaze]]</f>
        <v>120</v>
      </c>
      <c r="AI125">
        <f>Table3[[#This Row],[total_Flies]]/Table3[[#This Row],[flies_in]]</f>
        <v>0.69166666666666665</v>
      </c>
      <c r="AJ125"/>
      <c r="AK125" s="29">
        <f t="shared" si="9"/>
        <v>9.2833333333333332</v>
      </c>
      <c r="AL125" s="29">
        <f t="shared" si="8"/>
        <v>11.733333333333333</v>
      </c>
      <c r="AM125" s="29">
        <f>Table3[[#This Row],[end_time_num]]-Table3[[#This Row],[start_time_num]]</f>
        <v>2.4499999999999993</v>
      </c>
    </row>
    <row r="126" spans="1:39" s="4" customFormat="1" x14ac:dyDescent="0.35">
      <c r="A126" s="4">
        <v>7</v>
      </c>
      <c r="B126" s="4">
        <v>2</v>
      </c>
      <c r="C126" t="s">
        <v>154</v>
      </c>
      <c r="D126" s="4" t="s">
        <v>123</v>
      </c>
      <c r="E126" s="5">
        <v>0.38680555555555557</v>
      </c>
      <c r="F126" s="5">
        <v>0.4826388888888889</v>
      </c>
      <c r="G126" s="12">
        <v>9.5833333333333326E-2</v>
      </c>
      <c r="H126" s="5" t="s">
        <v>136</v>
      </c>
      <c r="I126" s="4" t="s">
        <v>6</v>
      </c>
      <c r="J126" s="4">
        <v>4</v>
      </c>
      <c r="K126" s="4" t="s">
        <v>2</v>
      </c>
      <c r="L126" s="15" t="s">
        <v>0</v>
      </c>
      <c r="M126" s="4">
        <v>7</v>
      </c>
      <c r="N126" s="4">
        <v>5</v>
      </c>
      <c r="O126" s="4">
        <v>17</v>
      </c>
      <c r="P126" s="4">
        <v>6</v>
      </c>
      <c r="Q126" s="4">
        <v>8</v>
      </c>
      <c r="R126" s="4">
        <v>12</v>
      </c>
      <c r="S126" s="4">
        <v>10</v>
      </c>
      <c r="T126" s="4">
        <v>6</v>
      </c>
      <c r="U126" s="4">
        <v>16</v>
      </c>
      <c r="V126" s="4">
        <v>5</v>
      </c>
      <c r="W126" s="4">
        <v>10</v>
      </c>
      <c r="X126" s="4">
        <v>1</v>
      </c>
      <c r="Y126" s="4">
        <v>1</v>
      </c>
      <c r="Z126" s="4">
        <v>1</v>
      </c>
      <c r="AA126" s="4">
        <v>0</v>
      </c>
      <c r="AB126" s="4">
        <v>0</v>
      </c>
      <c r="AC126" s="17">
        <f>SUMPRODUCT(OG_Data!D$1:S$1, M126:AB126) /SUM(M126:AB126)</f>
        <v>6.333333333333333</v>
      </c>
      <c r="AD126" s="4">
        <f t="shared" si="5"/>
        <v>105</v>
      </c>
      <c r="AE126" s="4">
        <v>1</v>
      </c>
      <c r="AF126" s="4">
        <v>6</v>
      </c>
      <c r="AG126">
        <v>20</v>
      </c>
      <c r="AH126">
        <f>Table3[[#This Row],[Flies_per_Vial]]*Table3[[#This Row],[Vials_Total_UsedInMaze]]</f>
        <v>120</v>
      </c>
      <c r="AI126">
        <f>Table3[[#This Row],[total_Flies]]/Table3[[#This Row],[flies_in]]</f>
        <v>0.875</v>
      </c>
      <c r="AJ126"/>
      <c r="AK126" s="29">
        <f t="shared" si="9"/>
        <v>9.2833333333333332</v>
      </c>
      <c r="AL126" s="29">
        <f t="shared" si="8"/>
        <v>11.583333333333334</v>
      </c>
      <c r="AM126" s="29">
        <f>Table3[[#This Row],[end_time_num]]-Table3[[#This Row],[start_time_num]]</f>
        <v>2.3000000000000007</v>
      </c>
    </row>
    <row r="127" spans="1:39" s="4" customFormat="1" x14ac:dyDescent="0.35">
      <c r="A127" s="4">
        <v>7</v>
      </c>
      <c r="B127" s="4">
        <v>2</v>
      </c>
      <c r="C127" t="s">
        <v>154</v>
      </c>
      <c r="D127" s="4" t="s">
        <v>123</v>
      </c>
      <c r="E127" s="5">
        <v>0.38680555555555557</v>
      </c>
      <c r="F127" s="5">
        <v>0.47291666666666665</v>
      </c>
      <c r="G127" s="12">
        <v>8.6111111111111083E-2</v>
      </c>
      <c r="H127" s="5" t="s">
        <v>136</v>
      </c>
      <c r="I127" s="4" t="s">
        <v>6</v>
      </c>
      <c r="J127" s="4">
        <v>4</v>
      </c>
      <c r="K127" s="4" t="s">
        <v>1</v>
      </c>
      <c r="L127" s="15" t="s">
        <v>3</v>
      </c>
      <c r="M127" s="4">
        <v>3</v>
      </c>
      <c r="N127" s="4">
        <v>5</v>
      </c>
      <c r="O127" s="4">
        <v>10</v>
      </c>
      <c r="P127" s="4">
        <v>6</v>
      </c>
      <c r="Q127" s="4">
        <v>10</v>
      </c>
      <c r="R127" s="4">
        <v>7</v>
      </c>
      <c r="S127" s="4">
        <v>5</v>
      </c>
      <c r="T127" s="4">
        <v>9</v>
      </c>
      <c r="U127" s="4">
        <v>7</v>
      </c>
      <c r="V127" s="4">
        <v>0</v>
      </c>
      <c r="W127" s="4">
        <v>3</v>
      </c>
      <c r="X127" s="4">
        <v>3</v>
      </c>
      <c r="Y127" s="4">
        <v>2</v>
      </c>
      <c r="Z127" s="4">
        <v>1</v>
      </c>
      <c r="AA127" s="4">
        <v>0</v>
      </c>
      <c r="AB127" s="4">
        <v>0</v>
      </c>
      <c r="AC127" s="17">
        <f>SUMPRODUCT(OG_Data!D$1:S$1, M127:AB127) /SUM(M127:AB127)</f>
        <v>6.169014084507042</v>
      </c>
      <c r="AD127" s="4">
        <f t="shared" si="5"/>
        <v>71</v>
      </c>
      <c r="AE127" s="4">
        <v>0</v>
      </c>
      <c r="AF127" s="4">
        <v>6</v>
      </c>
      <c r="AG127">
        <v>20</v>
      </c>
      <c r="AH127">
        <f>Table3[[#This Row],[Flies_per_Vial]]*Table3[[#This Row],[Vials_Total_UsedInMaze]]</f>
        <v>120</v>
      </c>
      <c r="AI127">
        <f>Table3[[#This Row],[total_Flies]]/Table3[[#This Row],[flies_in]]</f>
        <v>0.59166666666666667</v>
      </c>
      <c r="AJ127"/>
      <c r="AK127" s="29">
        <f t="shared" si="9"/>
        <v>9.2833333333333332</v>
      </c>
      <c r="AL127" s="29">
        <f t="shared" si="8"/>
        <v>11.35</v>
      </c>
      <c r="AM127" s="29">
        <f>Table3[[#This Row],[end_time_num]]-Table3[[#This Row],[start_time_num]]</f>
        <v>2.0666666666666664</v>
      </c>
    </row>
    <row r="128" spans="1:39" s="4" customFormat="1" x14ac:dyDescent="0.35">
      <c r="A128" s="4">
        <v>7</v>
      </c>
      <c r="B128" s="4">
        <v>2</v>
      </c>
      <c r="C128" t="s">
        <v>155</v>
      </c>
      <c r="D128" s="4" t="s">
        <v>123</v>
      </c>
      <c r="E128" s="5">
        <v>0.53888888888888886</v>
      </c>
      <c r="F128" s="5">
        <v>0.65763888888888888</v>
      </c>
      <c r="G128" s="12">
        <v>0.11875000000000002</v>
      </c>
      <c r="H128" s="5" t="s">
        <v>136</v>
      </c>
      <c r="I128" s="4" t="s">
        <v>6</v>
      </c>
      <c r="J128" s="4">
        <v>3</v>
      </c>
      <c r="K128" s="4" t="s">
        <v>5</v>
      </c>
      <c r="L128" s="15" t="s">
        <v>3</v>
      </c>
      <c r="M128" s="4">
        <v>1</v>
      </c>
      <c r="N128" s="4">
        <v>1</v>
      </c>
      <c r="O128" s="4">
        <v>1</v>
      </c>
      <c r="P128" s="4">
        <v>1</v>
      </c>
      <c r="Q128" s="4">
        <v>2</v>
      </c>
      <c r="R128" s="4">
        <v>3</v>
      </c>
      <c r="S128" s="4">
        <v>10</v>
      </c>
      <c r="T128" s="4">
        <v>9</v>
      </c>
      <c r="U128" s="4">
        <v>9</v>
      </c>
      <c r="V128" s="4">
        <v>7</v>
      </c>
      <c r="W128" s="4">
        <v>8</v>
      </c>
      <c r="X128" s="4">
        <v>8</v>
      </c>
      <c r="Y128" s="4">
        <v>3</v>
      </c>
      <c r="Z128" s="4">
        <v>2</v>
      </c>
      <c r="AA128" s="4">
        <v>11</v>
      </c>
      <c r="AB128" s="4">
        <v>9</v>
      </c>
      <c r="AC128" s="17">
        <f>SUMPRODUCT(OG_Data!D$1:S$1, M128:AB128) /SUM(M128:AB128)</f>
        <v>10.482352941176471</v>
      </c>
      <c r="AD128" s="4">
        <f t="shared" si="5"/>
        <v>85</v>
      </c>
      <c r="AE128" s="4">
        <v>0</v>
      </c>
      <c r="AF128" s="4">
        <v>6</v>
      </c>
      <c r="AG128">
        <v>20</v>
      </c>
      <c r="AH128">
        <f>Table3[[#This Row],[Flies_per_Vial]]*Table3[[#This Row],[Vials_Total_UsedInMaze]]</f>
        <v>120</v>
      </c>
      <c r="AI128">
        <f>Table3[[#This Row],[total_Flies]]/Table3[[#This Row],[flies_in]]</f>
        <v>0.70833333333333337</v>
      </c>
      <c r="AJ128"/>
      <c r="AK128" s="29">
        <f t="shared" si="9"/>
        <v>12.933333333333334</v>
      </c>
      <c r="AL128" s="29">
        <f t="shared" si="8"/>
        <v>15.783333333333333</v>
      </c>
      <c r="AM128" s="29">
        <f>Table3[[#This Row],[end_time_num]]-Table3[[#This Row],[start_time_num]]</f>
        <v>2.8499999999999996</v>
      </c>
    </row>
    <row r="129" spans="1:39" s="4" customFormat="1" x14ac:dyDescent="0.35">
      <c r="A129" s="4">
        <v>7</v>
      </c>
      <c r="B129" s="4">
        <v>2</v>
      </c>
      <c r="C129" t="s">
        <v>155</v>
      </c>
      <c r="D129" s="4" t="s">
        <v>123</v>
      </c>
      <c r="E129" s="5">
        <v>0.53888888888888886</v>
      </c>
      <c r="F129" s="5">
        <v>0.65833333333333333</v>
      </c>
      <c r="G129" s="12">
        <v>0.11944444444444446</v>
      </c>
      <c r="H129" s="5" t="s">
        <v>136</v>
      </c>
      <c r="I129" s="4" t="s">
        <v>6</v>
      </c>
      <c r="J129" s="4">
        <v>3</v>
      </c>
      <c r="K129" s="4" t="s">
        <v>4</v>
      </c>
      <c r="L129" s="15" t="s">
        <v>0</v>
      </c>
      <c r="M129" s="4">
        <v>16</v>
      </c>
      <c r="N129" s="4">
        <v>13</v>
      </c>
      <c r="O129" s="4">
        <v>11</v>
      </c>
      <c r="P129" s="4">
        <v>5</v>
      </c>
      <c r="Q129" s="4">
        <v>9</v>
      </c>
      <c r="R129" s="4">
        <v>1</v>
      </c>
      <c r="S129" s="4">
        <v>2</v>
      </c>
      <c r="T129" s="4">
        <v>14</v>
      </c>
      <c r="U129" s="4">
        <v>3</v>
      </c>
      <c r="V129" s="4">
        <v>9</v>
      </c>
      <c r="W129" s="4">
        <v>1</v>
      </c>
      <c r="X129" s="4">
        <v>1</v>
      </c>
      <c r="Y129" s="4">
        <v>1</v>
      </c>
      <c r="Z129" s="4">
        <v>1</v>
      </c>
      <c r="AA129" s="4">
        <v>2</v>
      </c>
      <c r="AB129" s="4">
        <v>0</v>
      </c>
      <c r="AC129" s="17">
        <f>SUMPRODUCT(OG_Data!D$1:S$1, M129:AB129) /SUM(M129:AB129)</f>
        <v>5.2696629213483144</v>
      </c>
      <c r="AD129" s="4">
        <f t="shared" si="5"/>
        <v>89</v>
      </c>
      <c r="AE129" s="4">
        <v>0</v>
      </c>
      <c r="AF129" s="4">
        <v>6</v>
      </c>
      <c r="AG129">
        <v>20</v>
      </c>
      <c r="AH129">
        <f>Table3[[#This Row],[Flies_per_Vial]]*Table3[[#This Row],[Vials_Total_UsedInMaze]]</f>
        <v>120</v>
      </c>
      <c r="AI129">
        <f>Table3[[#This Row],[total_Flies]]/Table3[[#This Row],[flies_in]]</f>
        <v>0.7416666666666667</v>
      </c>
      <c r="AJ129"/>
      <c r="AK129" s="29">
        <f t="shared" si="9"/>
        <v>12.933333333333334</v>
      </c>
      <c r="AL129" s="29">
        <f t="shared" si="8"/>
        <v>15.8</v>
      </c>
      <c r="AM129" s="29">
        <f>Table3[[#This Row],[end_time_num]]-Table3[[#This Row],[start_time_num]]</f>
        <v>2.8666666666666671</v>
      </c>
    </row>
    <row r="130" spans="1:39" s="4" customFormat="1" x14ac:dyDescent="0.35">
      <c r="A130" s="4">
        <v>7</v>
      </c>
      <c r="B130" s="4">
        <v>2</v>
      </c>
      <c r="C130" t="s">
        <v>155</v>
      </c>
      <c r="D130" s="4" t="s">
        <v>123</v>
      </c>
      <c r="E130" s="5">
        <v>0.53888888888888886</v>
      </c>
      <c r="F130" s="5">
        <v>0.6743055555555556</v>
      </c>
      <c r="G130" s="12">
        <v>0.13541666666666674</v>
      </c>
      <c r="H130" s="5" t="s">
        <v>136</v>
      </c>
      <c r="I130" s="4" t="s">
        <v>6</v>
      </c>
      <c r="J130" s="4">
        <v>3</v>
      </c>
      <c r="K130" s="4" t="s">
        <v>2</v>
      </c>
      <c r="L130" s="15" t="s">
        <v>0</v>
      </c>
      <c r="M130" s="4">
        <v>21</v>
      </c>
      <c r="N130" s="4">
        <v>15</v>
      </c>
      <c r="O130" s="4">
        <v>17</v>
      </c>
      <c r="P130" s="4">
        <v>8</v>
      </c>
      <c r="Q130" s="4">
        <v>7</v>
      </c>
      <c r="R130" s="4">
        <v>5</v>
      </c>
      <c r="S130" s="4">
        <v>14</v>
      </c>
      <c r="T130" s="4">
        <v>9</v>
      </c>
      <c r="U130" s="4">
        <v>6</v>
      </c>
      <c r="V130" s="4">
        <v>1</v>
      </c>
      <c r="W130" s="4">
        <v>2</v>
      </c>
      <c r="X130" s="4">
        <v>1</v>
      </c>
      <c r="Y130" s="4">
        <v>0</v>
      </c>
      <c r="Z130" s="4">
        <v>0</v>
      </c>
      <c r="AA130" s="4">
        <v>0</v>
      </c>
      <c r="AB130" s="4">
        <v>0</v>
      </c>
      <c r="AC130" s="17">
        <f>SUMPRODUCT(OG_Data!D$1:S$1, M130:AB130) /SUM(M130:AB130)</f>
        <v>4.4056603773584904</v>
      </c>
      <c r="AD130" s="4">
        <f t="shared" ref="AD130:AD190" si="10">SUM(M130:AB130)</f>
        <v>106</v>
      </c>
      <c r="AE130" s="4">
        <v>0</v>
      </c>
      <c r="AF130" s="4">
        <v>6</v>
      </c>
      <c r="AG130">
        <v>20</v>
      </c>
      <c r="AH130">
        <f>Table3[[#This Row],[Flies_per_Vial]]*Table3[[#This Row],[Vials_Total_UsedInMaze]]</f>
        <v>120</v>
      </c>
      <c r="AI130">
        <f>Table3[[#This Row],[total_Flies]]/Table3[[#This Row],[flies_in]]</f>
        <v>0.8833333333333333</v>
      </c>
      <c r="AJ130"/>
      <c r="AK130" s="29">
        <f t="shared" si="9"/>
        <v>12.933333333333334</v>
      </c>
      <c r="AL130" s="29">
        <f t="shared" si="8"/>
        <v>16.183333333333334</v>
      </c>
      <c r="AM130" s="29">
        <f>Table3[[#This Row],[end_time_num]]-Table3[[#This Row],[start_time_num]]</f>
        <v>3.25</v>
      </c>
    </row>
    <row r="131" spans="1:39" s="4" customFormat="1" x14ac:dyDescent="0.35">
      <c r="A131" s="4">
        <v>7</v>
      </c>
      <c r="B131" s="4">
        <v>2</v>
      </c>
      <c r="C131" t="s">
        <v>155</v>
      </c>
      <c r="D131" s="4" t="s">
        <v>123</v>
      </c>
      <c r="E131" s="5">
        <v>0.53888888888888886</v>
      </c>
      <c r="F131" s="5">
        <v>0.6791666666666667</v>
      </c>
      <c r="G131" s="12">
        <v>0.14027777777777783</v>
      </c>
      <c r="H131" s="5" t="s">
        <v>136</v>
      </c>
      <c r="I131" s="4" t="s">
        <v>6</v>
      </c>
      <c r="J131" s="4">
        <v>3</v>
      </c>
      <c r="K131" s="4" t="s">
        <v>1</v>
      </c>
      <c r="L131" s="15" t="s">
        <v>3</v>
      </c>
      <c r="M131" s="4">
        <v>5</v>
      </c>
      <c r="N131" s="4">
        <v>3</v>
      </c>
      <c r="O131" s="4">
        <v>6</v>
      </c>
      <c r="P131" s="4">
        <v>14</v>
      </c>
      <c r="Q131" s="4">
        <v>4</v>
      </c>
      <c r="R131" s="4">
        <v>4</v>
      </c>
      <c r="S131" s="4">
        <v>1</v>
      </c>
      <c r="T131" s="4">
        <v>2</v>
      </c>
      <c r="U131" s="4">
        <v>0</v>
      </c>
      <c r="V131" s="4">
        <v>0</v>
      </c>
      <c r="W131" s="4">
        <v>0</v>
      </c>
      <c r="X131" s="4">
        <v>1</v>
      </c>
      <c r="Y131" s="4">
        <v>0</v>
      </c>
      <c r="Z131" s="4">
        <v>0</v>
      </c>
      <c r="AA131" s="4">
        <v>0</v>
      </c>
      <c r="AB131" s="4">
        <v>0</v>
      </c>
      <c r="AC131" s="17">
        <f>SUMPRODUCT(OG_Data!D$1:S$1, M131:AB131) /SUM(M131:AB131)</f>
        <v>4.0999999999999996</v>
      </c>
      <c r="AD131" s="4">
        <f t="shared" si="10"/>
        <v>40</v>
      </c>
      <c r="AE131" s="4">
        <v>0</v>
      </c>
      <c r="AF131" s="4">
        <v>6</v>
      </c>
      <c r="AG131">
        <v>20</v>
      </c>
      <c r="AH131">
        <f>Table3[[#This Row],[Flies_per_Vial]]*Table3[[#This Row],[Vials_Total_UsedInMaze]]</f>
        <v>120</v>
      </c>
      <c r="AI131">
        <f>Table3[[#This Row],[total_Flies]]/Table3[[#This Row],[flies_in]]</f>
        <v>0.33333333333333331</v>
      </c>
      <c r="AJ131"/>
      <c r="AK131" s="29">
        <f t="shared" si="9"/>
        <v>12.933333333333334</v>
      </c>
      <c r="AL131" s="29">
        <f t="shared" si="8"/>
        <v>16.3</v>
      </c>
      <c r="AM131" s="29">
        <f>Table3[[#This Row],[end_time_num]]-Table3[[#This Row],[start_time_num]]</f>
        <v>3.3666666666666671</v>
      </c>
    </row>
    <row r="132" spans="1:39" s="24" customFormat="1" x14ac:dyDescent="0.35">
      <c r="A132" s="24">
        <v>8</v>
      </c>
      <c r="B132" s="24">
        <v>1</v>
      </c>
      <c r="C132" t="s">
        <v>154</v>
      </c>
      <c r="D132" s="24" t="s">
        <v>125</v>
      </c>
      <c r="E132" s="28">
        <v>0.38680555555555557</v>
      </c>
      <c r="F132" s="28">
        <v>0.46944444444444444</v>
      </c>
      <c r="G132" s="25">
        <v>8.2638888888888873E-2</v>
      </c>
      <c r="H132" s="28" t="s">
        <v>136</v>
      </c>
      <c r="I132" s="24" t="s">
        <v>6</v>
      </c>
      <c r="J132" s="24">
        <v>1</v>
      </c>
      <c r="K132" s="24" t="s">
        <v>5</v>
      </c>
      <c r="L132" s="14" t="s">
        <v>0</v>
      </c>
      <c r="M132" s="24">
        <v>1</v>
      </c>
      <c r="N132" s="24">
        <v>1</v>
      </c>
      <c r="O132" s="24">
        <v>14</v>
      </c>
      <c r="P132" s="24">
        <v>3</v>
      </c>
      <c r="Q132" s="24">
        <v>17</v>
      </c>
      <c r="R132" s="24">
        <v>8</v>
      </c>
      <c r="S132" s="24">
        <v>11</v>
      </c>
      <c r="T132" s="24">
        <v>13</v>
      </c>
      <c r="U132" s="24">
        <v>10</v>
      </c>
      <c r="V132" s="24">
        <v>14</v>
      </c>
      <c r="W132" s="24">
        <v>11</v>
      </c>
      <c r="X132" s="24">
        <v>10</v>
      </c>
      <c r="Y132" s="24">
        <v>1</v>
      </c>
      <c r="Z132" s="24">
        <v>0</v>
      </c>
      <c r="AA132" s="24">
        <v>11</v>
      </c>
      <c r="AB132" s="24">
        <v>6</v>
      </c>
      <c r="AC132" s="27">
        <f>SUMPRODUCT(OG_Data!D$1:S$1, M132:AB132) /SUM(M132:AB132)</f>
        <v>8.5190839694656493</v>
      </c>
      <c r="AD132" s="24">
        <f t="shared" si="10"/>
        <v>131</v>
      </c>
      <c r="AE132" s="24">
        <v>0</v>
      </c>
      <c r="AF132" s="24">
        <v>6</v>
      </c>
      <c r="AG132">
        <v>25</v>
      </c>
      <c r="AH132">
        <f>Table3[[#This Row],[Flies_per_Vial]]*Table3[[#This Row],[Vials_Total_UsedInMaze]]</f>
        <v>150</v>
      </c>
      <c r="AI132">
        <f>Table3[[#This Row],[total_Flies]]/Table3[[#This Row],[flies_in]]</f>
        <v>0.87333333333333329</v>
      </c>
      <c r="AJ132"/>
      <c r="AK132" s="31">
        <f t="shared" si="9"/>
        <v>9.2833333333333332</v>
      </c>
      <c r="AL132" s="33">
        <f t="shared" si="8"/>
        <v>11.266666666666666</v>
      </c>
      <c r="AM132" s="33">
        <f>Table3[[#This Row],[end_time_num]]-Table3[[#This Row],[start_time_num]]</f>
        <v>1.9833333333333325</v>
      </c>
    </row>
    <row r="133" spans="1:39" s="24" customFormat="1" x14ac:dyDescent="0.35">
      <c r="A133" s="24">
        <v>8</v>
      </c>
      <c r="B133" s="24">
        <v>1</v>
      </c>
      <c r="C133" t="s">
        <v>154</v>
      </c>
      <c r="D133" s="24" t="s">
        <v>125</v>
      </c>
      <c r="E133" s="28">
        <v>0.38680555555555557</v>
      </c>
      <c r="F133" s="28">
        <v>0.47499999999999998</v>
      </c>
      <c r="G133" s="25">
        <v>8.8194444444444409E-2</v>
      </c>
      <c r="H133" s="28" t="s">
        <v>136</v>
      </c>
      <c r="I133" s="24" t="s">
        <v>6</v>
      </c>
      <c r="J133" s="24">
        <v>1</v>
      </c>
      <c r="K133" s="24" t="s">
        <v>4</v>
      </c>
      <c r="L133" s="14" t="s">
        <v>3</v>
      </c>
      <c r="M133" s="24">
        <v>1</v>
      </c>
      <c r="N133" s="24">
        <v>7</v>
      </c>
      <c r="O133" s="24">
        <v>3</v>
      </c>
      <c r="P133" s="24">
        <v>8</v>
      </c>
      <c r="Q133" s="24">
        <v>18</v>
      </c>
      <c r="R133" s="24">
        <v>4</v>
      </c>
      <c r="S133" s="24">
        <v>12</v>
      </c>
      <c r="T133" s="24">
        <v>12</v>
      </c>
      <c r="U133" s="24">
        <v>7</v>
      </c>
      <c r="V133" s="24">
        <v>8</v>
      </c>
      <c r="W133" s="24">
        <v>9</v>
      </c>
      <c r="X133" s="24">
        <v>8</v>
      </c>
      <c r="Y133" s="24">
        <v>5</v>
      </c>
      <c r="Z133" s="24">
        <v>6</v>
      </c>
      <c r="AA133" s="24">
        <v>7</v>
      </c>
      <c r="AB133" s="24">
        <v>4</v>
      </c>
      <c r="AC133" s="27">
        <f>SUMPRODUCT(OG_Data!D$1:S$1, M133:AB133) /SUM(M133:AB133)</f>
        <v>8.4537815126050422</v>
      </c>
      <c r="AD133" s="24">
        <f t="shared" si="10"/>
        <v>119</v>
      </c>
      <c r="AE133" s="24">
        <v>0</v>
      </c>
      <c r="AF133" s="24">
        <v>6</v>
      </c>
      <c r="AG133">
        <v>25</v>
      </c>
      <c r="AH133">
        <f>Table3[[#This Row],[Flies_per_Vial]]*Table3[[#This Row],[Vials_Total_UsedInMaze]]</f>
        <v>150</v>
      </c>
      <c r="AI133">
        <f>Table3[[#This Row],[total_Flies]]/Table3[[#This Row],[flies_in]]</f>
        <v>0.79333333333333333</v>
      </c>
      <c r="AJ133"/>
      <c r="AK133" s="31">
        <f t="shared" si="9"/>
        <v>9.2833333333333332</v>
      </c>
      <c r="AL133" s="33">
        <f t="shared" si="8"/>
        <v>11.399999999999999</v>
      </c>
      <c r="AM133" s="33">
        <f>Table3[[#This Row],[end_time_num]]-Table3[[#This Row],[start_time_num]]</f>
        <v>2.1166666666666654</v>
      </c>
    </row>
    <row r="134" spans="1:39" s="24" customFormat="1" x14ac:dyDescent="0.35">
      <c r="A134" s="24">
        <v>8</v>
      </c>
      <c r="B134" s="24">
        <v>1</v>
      </c>
      <c r="C134" t="s">
        <v>154</v>
      </c>
      <c r="D134" s="24" t="s">
        <v>125</v>
      </c>
      <c r="E134" s="28">
        <v>0.38680555555555557</v>
      </c>
      <c r="F134" s="28">
        <v>0.4826388888888889</v>
      </c>
      <c r="G134" s="25">
        <v>9.5833333333333326E-2</v>
      </c>
      <c r="H134" s="28" t="s">
        <v>136</v>
      </c>
      <c r="I134" s="24" t="s">
        <v>6</v>
      </c>
      <c r="J134" s="24">
        <v>1</v>
      </c>
      <c r="K134" s="24" t="s">
        <v>2</v>
      </c>
      <c r="L134" s="14" t="s">
        <v>3</v>
      </c>
      <c r="M134" s="24">
        <v>0</v>
      </c>
      <c r="N134" s="24">
        <v>2</v>
      </c>
      <c r="O134" s="24">
        <v>5</v>
      </c>
      <c r="P134" s="24">
        <v>3</v>
      </c>
      <c r="Q134" s="24">
        <v>10</v>
      </c>
      <c r="R134" s="24">
        <v>4</v>
      </c>
      <c r="S134" s="24">
        <v>1</v>
      </c>
      <c r="T134" s="24">
        <v>7</v>
      </c>
      <c r="U134" s="24">
        <v>17</v>
      </c>
      <c r="V134" s="24">
        <v>8</v>
      </c>
      <c r="W134" s="24">
        <v>11</v>
      </c>
      <c r="X134" s="24">
        <v>2</v>
      </c>
      <c r="Y134" s="24">
        <v>1</v>
      </c>
      <c r="Z134" s="24">
        <v>0</v>
      </c>
      <c r="AA134" s="24">
        <v>0</v>
      </c>
      <c r="AB134" s="24">
        <v>0</v>
      </c>
      <c r="AC134" s="27">
        <f>SUMPRODUCT(OG_Data!D$1:S$1, M134:AB134) /SUM(M134:AB134)</f>
        <v>7.873239436619718</v>
      </c>
      <c r="AD134" s="24">
        <f t="shared" si="10"/>
        <v>71</v>
      </c>
      <c r="AE134" s="24">
        <v>0</v>
      </c>
      <c r="AF134" s="24">
        <v>6</v>
      </c>
      <c r="AG134">
        <v>25</v>
      </c>
      <c r="AH134">
        <f>Table3[[#This Row],[Flies_per_Vial]]*Table3[[#This Row],[Vials_Total_UsedInMaze]]</f>
        <v>150</v>
      </c>
      <c r="AI134">
        <f>Table3[[#This Row],[total_Flies]]/Table3[[#This Row],[flies_in]]</f>
        <v>0.47333333333333333</v>
      </c>
      <c r="AJ134"/>
      <c r="AK134" s="31">
        <f t="shared" si="9"/>
        <v>9.2833333333333332</v>
      </c>
      <c r="AL134" s="33">
        <f t="shared" si="8"/>
        <v>11.583333333333334</v>
      </c>
      <c r="AM134" s="33">
        <f>Table3[[#This Row],[end_time_num]]-Table3[[#This Row],[start_time_num]]</f>
        <v>2.3000000000000007</v>
      </c>
    </row>
    <row r="135" spans="1:39" s="24" customFormat="1" x14ac:dyDescent="0.35">
      <c r="A135" s="24">
        <v>8</v>
      </c>
      <c r="B135" s="24">
        <v>1</v>
      </c>
      <c r="C135" t="s">
        <v>154</v>
      </c>
      <c r="D135" s="24" t="s">
        <v>125</v>
      </c>
      <c r="E135" s="28">
        <v>0.38680555555555557</v>
      </c>
      <c r="F135" s="28">
        <v>0.48819444444444443</v>
      </c>
      <c r="G135" s="25">
        <v>0.10138888888888886</v>
      </c>
      <c r="H135" s="28" t="s">
        <v>136</v>
      </c>
      <c r="I135" s="24" t="s">
        <v>6</v>
      </c>
      <c r="J135" s="24">
        <v>1</v>
      </c>
      <c r="K135" s="24" t="s">
        <v>1</v>
      </c>
      <c r="L135" s="14" t="s">
        <v>0</v>
      </c>
      <c r="M135" s="24">
        <v>12</v>
      </c>
      <c r="N135" s="24">
        <v>12</v>
      </c>
      <c r="O135" s="24">
        <v>10</v>
      </c>
      <c r="P135" s="24">
        <v>14</v>
      </c>
      <c r="Q135" s="24">
        <v>15</v>
      </c>
      <c r="R135" s="24">
        <v>17</v>
      </c>
      <c r="S135" s="24">
        <v>4</v>
      </c>
      <c r="T135" s="24">
        <v>13</v>
      </c>
      <c r="U135" s="24">
        <v>8</v>
      </c>
      <c r="V135" s="24">
        <v>2</v>
      </c>
      <c r="W135" s="24">
        <v>12</v>
      </c>
      <c r="X135" s="24">
        <v>3</v>
      </c>
      <c r="Y135" s="24">
        <v>5</v>
      </c>
      <c r="Z135" s="24">
        <v>1</v>
      </c>
      <c r="AA135" s="24">
        <v>0</v>
      </c>
      <c r="AB135" s="24">
        <v>0</v>
      </c>
      <c r="AC135" s="27">
        <f>SUMPRODUCT(OG_Data!D$1:S$1, M135:AB135) /SUM(M135:AB135)</f>
        <v>6.015625</v>
      </c>
      <c r="AD135" s="24">
        <f t="shared" si="10"/>
        <v>128</v>
      </c>
      <c r="AE135" s="24">
        <v>0</v>
      </c>
      <c r="AF135" s="24">
        <v>6</v>
      </c>
      <c r="AG135">
        <v>25</v>
      </c>
      <c r="AH135">
        <f>Table3[[#This Row],[Flies_per_Vial]]*Table3[[#This Row],[Vials_Total_UsedInMaze]]</f>
        <v>150</v>
      </c>
      <c r="AI135">
        <f>Table3[[#This Row],[total_Flies]]/Table3[[#This Row],[flies_in]]</f>
        <v>0.85333333333333339</v>
      </c>
      <c r="AJ135"/>
      <c r="AK135" s="31">
        <f t="shared" si="9"/>
        <v>9.2833333333333332</v>
      </c>
      <c r="AL135" s="33">
        <f t="shared" si="8"/>
        <v>11.716666666666667</v>
      </c>
      <c r="AM135" s="33">
        <f>Table3[[#This Row],[end_time_num]]-Table3[[#This Row],[start_time_num]]</f>
        <v>2.4333333333333336</v>
      </c>
    </row>
    <row r="136" spans="1:39" s="24" customFormat="1" x14ac:dyDescent="0.35">
      <c r="A136" s="24">
        <v>8</v>
      </c>
      <c r="B136" s="24">
        <v>1</v>
      </c>
      <c r="C136" t="s">
        <v>155</v>
      </c>
      <c r="D136" s="24" t="s">
        <v>125</v>
      </c>
      <c r="E136" s="28">
        <v>0.50208333333333333</v>
      </c>
      <c r="F136" s="28">
        <v>0.6430555555555556</v>
      </c>
      <c r="G136" s="25">
        <v>0.14097222222222228</v>
      </c>
      <c r="H136" s="28" t="s">
        <v>136</v>
      </c>
      <c r="I136" s="24" t="s">
        <v>6</v>
      </c>
      <c r="J136" s="24">
        <v>2</v>
      </c>
      <c r="K136" s="24" t="s">
        <v>5</v>
      </c>
      <c r="L136" s="14" t="s">
        <v>0</v>
      </c>
      <c r="M136" s="24">
        <v>1</v>
      </c>
      <c r="N136" s="24">
        <v>1</v>
      </c>
      <c r="O136" s="24">
        <v>3</v>
      </c>
      <c r="P136" s="24">
        <v>14</v>
      </c>
      <c r="Q136" s="24">
        <v>6</v>
      </c>
      <c r="R136" s="24">
        <v>3</v>
      </c>
      <c r="S136" s="24">
        <v>8</v>
      </c>
      <c r="T136" s="24">
        <v>15</v>
      </c>
      <c r="U136" s="24">
        <v>17</v>
      </c>
      <c r="V136" s="24">
        <v>14</v>
      </c>
      <c r="W136" s="24">
        <v>17</v>
      </c>
      <c r="X136" s="24">
        <v>11</v>
      </c>
      <c r="Y136" s="24">
        <v>4</v>
      </c>
      <c r="Z136" s="24">
        <v>3</v>
      </c>
      <c r="AA136" s="24">
        <v>12</v>
      </c>
      <c r="AB136" s="24">
        <v>3</v>
      </c>
      <c r="AC136" s="27">
        <f>SUMPRODUCT(OG_Data!D$1:S$1, M136:AB136) /SUM(M136:AB136)</f>
        <v>9.2878787878787872</v>
      </c>
      <c r="AD136" s="24">
        <f t="shared" si="10"/>
        <v>132</v>
      </c>
      <c r="AE136" s="24">
        <v>0</v>
      </c>
      <c r="AF136" s="24">
        <v>6</v>
      </c>
      <c r="AG136">
        <v>25</v>
      </c>
      <c r="AH136">
        <f>Table3[[#This Row],[Flies_per_Vial]]*Table3[[#This Row],[Vials_Total_UsedInMaze]]</f>
        <v>150</v>
      </c>
      <c r="AI136">
        <f>Table3[[#This Row],[total_Flies]]/Table3[[#This Row],[flies_in]]</f>
        <v>0.88</v>
      </c>
      <c r="AJ136"/>
      <c r="AK136" s="31">
        <f t="shared" si="9"/>
        <v>12.05</v>
      </c>
      <c r="AL136" s="33">
        <f t="shared" si="8"/>
        <v>15.433333333333334</v>
      </c>
      <c r="AM136" s="33">
        <f>Table3[[#This Row],[end_time_num]]-Table3[[#This Row],[start_time_num]]</f>
        <v>3.3833333333333329</v>
      </c>
    </row>
    <row r="137" spans="1:39" s="24" customFormat="1" x14ac:dyDescent="0.35">
      <c r="A137" s="24">
        <v>8</v>
      </c>
      <c r="B137" s="24">
        <v>1</v>
      </c>
      <c r="C137" t="s">
        <v>155</v>
      </c>
      <c r="D137" s="24" t="s">
        <v>125</v>
      </c>
      <c r="E137" s="28">
        <v>0.50208333333333333</v>
      </c>
      <c r="F137" s="28">
        <v>0.66111111111111109</v>
      </c>
      <c r="G137" s="25">
        <v>0.15902777777777777</v>
      </c>
      <c r="H137" s="28" t="s">
        <v>136</v>
      </c>
      <c r="I137" s="24" t="s">
        <v>6</v>
      </c>
      <c r="J137" s="24">
        <v>2</v>
      </c>
      <c r="K137" s="24" t="s">
        <v>4</v>
      </c>
      <c r="L137" s="14" t="s">
        <v>3</v>
      </c>
      <c r="M137" s="24">
        <v>10</v>
      </c>
      <c r="N137" s="24">
        <v>8</v>
      </c>
      <c r="O137" s="24">
        <v>7</v>
      </c>
      <c r="P137" s="24">
        <v>11</v>
      </c>
      <c r="Q137" s="24">
        <v>23</v>
      </c>
      <c r="R137" s="24">
        <v>7</v>
      </c>
      <c r="S137" s="24">
        <v>8</v>
      </c>
      <c r="T137" s="24">
        <v>6</v>
      </c>
      <c r="U137" s="24">
        <v>7</v>
      </c>
      <c r="V137" s="24">
        <v>6</v>
      </c>
      <c r="W137" s="24">
        <v>2</v>
      </c>
      <c r="X137" s="24">
        <v>6</v>
      </c>
      <c r="Y137" s="24">
        <v>0</v>
      </c>
      <c r="Z137" s="24">
        <v>1</v>
      </c>
      <c r="AA137" s="24">
        <v>4</v>
      </c>
      <c r="AB137" s="24">
        <v>1</v>
      </c>
      <c r="AC137" s="27">
        <f>SUMPRODUCT(OG_Data!D$1:S$1, M137:AB137) /SUM(M137:AB137)</f>
        <v>6.1588785046728969</v>
      </c>
      <c r="AD137" s="24">
        <f t="shared" si="10"/>
        <v>107</v>
      </c>
      <c r="AE137" s="24">
        <v>0</v>
      </c>
      <c r="AF137" s="24">
        <v>6</v>
      </c>
      <c r="AG137">
        <v>25</v>
      </c>
      <c r="AH137">
        <f>Table3[[#This Row],[Flies_per_Vial]]*Table3[[#This Row],[Vials_Total_UsedInMaze]]</f>
        <v>150</v>
      </c>
      <c r="AI137">
        <f>Table3[[#This Row],[total_Flies]]/Table3[[#This Row],[flies_in]]</f>
        <v>0.71333333333333337</v>
      </c>
      <c r="AJ137"/>
      <c r="AK137" s="31">
        <f t="shared" si="9"/>
        <v>12.05</v>
      </c>
      <c r="AL137" s="33">
        <f t="shared" si="8"/>
        <v>15.866666666666667</v>
      </c>
      <c r="AM137" s="33">
        <f>Table3[[#This Row],[end_time_num]]-Table3[[#This Row],[start_time_num]]</f>
        <v>3.8166666666666664</v>
      </c>
    </row>
    <row r="138" spans="1:39" s="24" customFormat="1" x14ac:dyDescent="0.35">
      <c r="A138" s="24">
        <v>8</v>
      </c>
      <c r="B138" s="24">
        <v>1</v>
      </c>
      <c r="C138" t="s">
        <v>155</v>
      </c>
      <c r="D138" s="24" t="s">
        <v>125</v>
      </c>
      <c r="E138" s="28">
        <v>0.50208333333333333</v>
      </c>
      <c r="F138" s="28">
        <v>0.67222222222222228</v>
      </c>
      <c r="G138" s="25">
        <v>0.17013888888888895</v>
      </c>
      <c r="H138" s="28" t="s">
        <v>136</v>
      </c>
      <c r="I138" s="24" t="s">
        <v>6</v>
      </c>
      <c r="J138" s="24">
        <v>2</v>
      </c>
      <c r="K138" s="24" t="s">
        <v>2</v>
      </c>
      <c r="L138" s="14" t="s">
        <v>3</v>
      </c>
      <c r="M138" s="24">
        <v>1</v>
      </c>
      <c r="N138" s="24">
        <v>5</v>
      </c>
      <c r="O138" s="24">
        <v>8</v>
      </c>
      <c r="P138" s="24">
        <v>9</v>
      </c>
      <c r="Q138" s="24">
        <v>9</v>
      </c>
      <c r="R138" s="24">
        <v>2</v>
      </c>
      <c r="S138" s="24">
        <v>5</v>
      </c>
      <c r="T138" s="24">
        <v>4</v>
      </c>
      <c r="U138" s="24">
        <v>0</v>
      </c>
      <c r="V138" s="24">
        <v>3</v>
      </c>
      <c r="W138" s="24">
        <v>0</v>
      </c>
      <c r="X138" s="24">
        <v>1</v>
      </c>
      <c r="Y138" s="24">
        <v>0</v>
      </c>
      <c r="Z138" s="24">
        <v>1</v>
      </c>
      <c r="AA138" s="24">
        <v>0</v>
      </c>
      <c r="AB138" s="24">
        <v>1</v>
      </c>
      <c r="AC138" s="27">
        <f>SUMPRODUCT(OG_Data!D$1:S$1, M138:AB138) /SUM(M138:AB138)</f>
        <v>5.4489795918367347</v>
      </c>
      <c r="AD138" s="24">
        <f t="shared" si="10"/>
        <v>49</v>
      </c>
      <c r="AE138" s="24">
        <v>0</v>
      </c>
      <c r="AF138" s="24">
        <v>6</v>
      </c>
      <c r="AG138">
        <v>25</v>
      </c>
      <c r="AH138">
        <f>Table3[[#This Row],[Flies_per_Vial]]*Table3[[#This Row],[Vials_Total_UsedInMaze]]</f>
        <v>150</v>
      </c>
      <c r="AI138">
        <f>Table3[[#This Row],[total_Flies]]/Table3[[#This Row],[flies_in]]</f>
        <v>0.32666666666666666</v>
      </c>
      <c r="AJ138"/>
      <c r="AK138" s="31">
        <f t="shared" si="9"/>
        <v>12.05</v>
      </c>
      <c r="AL138" s="33">
        <f t="shared" si="8"/>
        <v>16.133333333333333</v>
      </c>
      <c r="AM138" s="33">
        <f>Table3[[#This Row],[end_time_num]]-Table3[[#This Row],[start_time_num]]</f>
        <v>4.0833333333333321</v>
      </c>
    </row>
    <row r="139" spans="1:39" s="24" customFormat="1" x14ac:dyDescent="0.35">
      <c r="A139" s="24">
        <v>8</v>
      </c>
      <c r="B139" s="24">
        <v>1</v>
      </c>
      <c r="C139" t="s">
        <v>155</v>
      </c>
      <c r="D139" s="24" t="s">
        <v>125</v>
      </c>
      <c r="E139" s="28">
        <v>0.50208333333333333</v>
      </c>
      <c r="F139" s="28">
        <v>0.67777777777777781</v>
      </c>
      <c r="G139" s="25">
        <v>0.17569444444444449</v>
      </c>
      <c r="H139" s="28" t="s">
        <v>136</v>
      </c>
      <c r="I139" s="24" t="s">
        <v>6</v>
      </c>
      <c r="J139" s="24">
        <v>2</v>
      </c>
      <c r="K139" s="24" t="s">
        <v>1</v>
      </c>
      <c r="L139" s="14" t="s">
        <v>0</v>
      </c>
      <c r="M139" s="24">
        <v>11</v>
      </c>
      <c r="N139" s="24">
        <v>11</v>
      </c>
      <c r="O139" s="24">
        <v>15</v>
      </c>
      <c r="P139" s="24">
        <v>10</v>
      </c>
      <c r="Q139" s="24">
        <v>12</v>
      </c>
      <c r="R139" s="24">
        <v>19</v>
      </c>
      <c r="S139" s="24">
        <v>15</v>
      </c>
      <c r="T139" s="24">
        <v>22</v>
      </c>
      <c r="U139" s="24">
        <v>11</v>
      </c>
      <c r="V139" s="24">
        <v>9</v>
      </c>
      <c r="W139" s="24">
        <v>3</v>
      </c>
      <c r="X139" s="24">
        <v>1</v>
      </c>
      <c r="Y139" s="24">
        <v>2</v>
      </c>
      <c r="Z139" s="24">
        <v>2</v>
      </c>
      <c r="AA139" s="24">
        <v>0</v>
      </c>
      <c r="AB139" s="24">
        <v>0</v>
      </c>
      <c r="AC139" s="27">
        <f>SUMPRODUCT(OG_Data!D$1:S$1, M139:AB139) /SUM(M139:AB139)</f>
        <v>6.0209790209790208</v>
      </c>
      <c r="AD139" s="24">
        <f t="shared" si="10"/>
        <v>143</v>
      </c>
      <c r="AE139" s="24">
        <v>3</v>
      </c>
      <c r="AF139" s="24">
        <v>6</v>
      </c>
      <c r="AG139">
        <v>25</v>
      </c>
      <c r="AH139">
        <f>Table3[[#This Row],[Flies_per_Vial]]*Table3[[#This Row],[Vials_Total_UsedInMaze]]</f>
        <v>150</v>
      </c>
      <c r="AI139">
        <f>Table3[[#This Row],[total_Flies]]/Table3[[#This Row],[flies_in]]</f>
        <v>0.95333333333333337</v>
      </c>
      <c r="AJ139"/>
      <c r="AK139" s="31">
        <f t="shared" si="9"/>
        <v>12.05</v>
      </c>
      <c r="AL139" s="33">
        <f t="shared" si="8"/>
        <v>16.266666666666666</v>
      </c>
      <c r="AM139" s="33">
        <f>Table3[[#This Row],[end_time_num]]-Table3[[#This Row],[start_time_num]]</f>
        <v>4.216666666666665</v>
      </c>
    </row>
    <row r="140" spans="1:39" s="24" customFormat="1" x14ac:dyDescent="0.35">
      <c r="A140" s="24">
        <v>8</v>
      </c>
      <c r="B140" s="24">
        <v>2</v>
      </c>
      <c r="C140" t="s">
        <v>154</v>
      </c>
      <c r="D140" s="24" t="s">
        <v>124</v>
      </c>
      <c r="E140" s="28">
        <v>0.38680555555555557</v>
      </c>
      <c r="F140" s="28">
        <v>0.47013888888888888</v>
      </c>
      <c r="G140" s="25">
        <v>8.3333333333333315E-2</v>
      </c>
      <c r="H140" s="28" t="s">
        <v>136</v>
      </c>
      <c r="I140" s="24" t="s">
        <v>6</v>
      </c>
      <c r="J140" s="24">
        <v>3</v>
      </c>
      <c r="K140" s="24" t="s">
        <v>5</v>
      </c>
      <c r="L140" s="14" t="s">
        <v>0</v>
      </c>
      <c r="M140" s="24">
        <v>0</v>
      </c>
      <c r="N140" s="24">
        <v>0</v>
      </c>
      <c r="O140" s="24">
        <v>8</v>
      </c>
      <c r="P140" s="24">
        <v>6</v>
      </c>
      <c r="Q140" s="24">
        <v>5</v>
      </c>
      <c r="R140" s="24">
        <v>10</v>
      </c>
      <c r="S140" s="24">
        <v>8</v>
      </c>
      <c r="T140" s="24">
        <v>7</v>
      </c>
      <c r="U140" s="24">
        <v>6</v>
      </c>
      <c r="V140" s="24">
        <v>8</v>
      </c>
      <c r="W140" s="24">
        <v>9</v>
      </c>
      <c r="X140" s="24">
        <v>11</v>
      </c>
      <c r="Y140" s="24">
        <v>16</v>
      </c>
      <c r="Z140" s="24">
        <v>9</v>
      </c>
      <c r="AA140" s="24">
        <v>3</v>
      </c>
      <c r="AB140" s="24">
        <v>2</v>
      </c>
      <c r="AC140" s="27">
        <f>SUMPRODUCT(OG_Data!D$1:S$1, M140:AB140) /SUM(M140:AB140)</f>
        <v>9.4537037037037042</v>
      </c>
      <c r="AD140" s="24">
        <f t="shared" si="10"/>
        <v>108</v>
      </c>
      <c r="AE140" s="24">
        <v>0</v>
      </c>
      <c r="AF140" s="24">
        <v>6</v>
      </c>
      <c r="AG140">
        <v>25</v>
      </c>
      <c r="AH140">
        <f>Table3[[#This Row],[Flies_per_Vial]]*Table3[[#This Row],[Vials_Total_UsedInMaze]]</f>
        <v>150</v>
      </c>
      <c r="AI140">
        <f>Table3[[#This Row],[total_Flies]]/Table3[[#This Row],[flies_in]]</f>
        <v>0.72</v>
      </c>
      <c r="AJ140"/>
      <c r="AK140" s="31">
        <f t="shared" si="9"/>
        <v>9.2833333333333332</v>
      </c>
      <c r="AL140" s="33">
        <f t="shared" ref="AL140:AL171" si="11">24*F140</f>
        <v>11.283333333333333</v>
      </c>
      <c r="AM140" s="33">
        <f>Table3[[#This Row],[end_time_num]]-Table3[[#This Row],[start_time_num]]</f>
        <v>2</v>
      </c>
    </row>
    <row r="141" spans="1:39" s="24" customFormat="1" x14ac:dyDescent="0.35">
      <c r="A141" s="24">
        <v>8</v>
      </c>
      <c r="B141" s="24">
        <v>2</v>
      </c>
      <c r="C141" t="s">
        <v>154</v>
      </c>
      <c r="D141" s="24" t="s">
        <v>124</v>
      </c>
      <c r="E141" s="28">
        <v>0.38680555555555557</v>
      </c>
      <c r="F141" s="28">
        <v>0.47916666666666669</v>
      </c>
      <c r="G141" s="25">
        <v>9.2361111111111116E-2</v>
      </c>
      <c r="H141" s="28" t="s">
        <v>136</v>
      </c>
      <c r="I141" s="24" t="s">
        <v>6</v>
      </c>
      <c r="J141" s="24">
        <v>3</v>
      </c>
      <c r="K141" s="24" t="s">
        <v>4</v>
      </c>
      <c r="L141" s="14" t="s">
        <v>3</v>
      </c>
      <c r="M141" s="24">
        <v>7</v>
      </c>
      <c r="N141" s="24">
        <v>4</v>
      </c>
      <c r="O141" s="24">
        <v>3</v>
      </c>
      <c r="P141" s="24">
        <v>7</v>
      </c>
      <c r="Q141" s="24">
        <v>18</v>
      </c>
      <c r="R141" s="24">
        <v>4</v>
      </c>
      <c r="S141" s="24">
        <v>6</v>
      </c>
      <c r="T141" s="24">
        <v>6</v>
      </c>
      <c r="U141" s="24">
        <v>7</v>
      </c>
      <c r="V141" s="24">
        <v>7</v>
      </c>
      <c r="W141" s="24">
        <v>5</v>
      </c>
      <c r="X141" s="24">
        <v>10</v>
      </c>
      <c r="Y141" s="24">
        <v>3</v>
      </c>
      <c r="Z141" s="24">
        <v>1</v>
      </c>
      <c r="AA141" s="24">
        <v>3</v>
      </c>
      <c r="AB141" s="24">
        <v>1</v>
      </c>
      <c r="AC141" s="27">
        <f>SUMPRODUCT(OG_Data!D$1:S$1, M141:AB141) /SUM(M141:AB141)</f>
        <v>7.3695652173913047</v>
      </c>
      <c r="AD141" s="24">
        <f t="shared" si="10"/>
        <v>92</v>
      </c>
      <c r="AE141" s="24">
        <v>0</v>
      </c>
      <c r="AF141" s="24">
        <v>6</v>
      </c>
      <c r="AG141">
        <v>25</v>
      </c>
      <c r="AH141">
        <f>Table3[[#This Row],[Flies_per_Vial]]*Table3[[#This Row],[Vials_Total_UsedInMaze]]</f>
        <v>150</v>
      </c>
      <c r="AI141">
        <f>Table3[[#This Row],[total_Flies]]/Table3[[#This Row],[flies_in]]</f>
        <v>0.61333333333333329</v>
      </c>
      <c r="AJ141"/>
      <c r="AK141" s="31">
        <f t="shared" si="9"/>
        <v>9.2833333333333332</v>
      </c>
      <c r="AL141" s="33">
        <f t="shared" si="11"/>
        <v>11.5</v>
      </c>
      <c r="AM141" s="33">
        <f>Table3[[#This Row],[end_time_num]]-Table3[[#This Row],[start_time_num]]</f>
        <v>2.2166666666666668</v>
      </c>
    </row>
    <row r="142" spans="1:39" s="24" customFormat="1" x14ac:dyDescent="0.35">
      <c r="A142" s="24">
        <v>8</v>
      </c>
      <c r="B142" s="24">
        <v>2</v>
      </c>
      <c r="C142" t="s">
        <v>154</v>
      </c>
      <c r="D142" s="24" t="s">
        <v>124</v>
      </c>
      <c r="E142" s="28">
        <v>0.38680555555555601</v>
      </c>
      <c r="F142" s="28">
        <v>0.48680555555555555</v>
      </c>
      <c r="G142" s="25">
        <v>9.9999999999999534E-2</v>
      </c>
      <c r="H142" s="28" t="s">
        <v>136</v>
      </c>
      <c r="I142" s="24" t="s">
        <v>6</v>
      </c>
      <c r="J142" s="24">
        <v>3</v>
      </c>
      <c r="K142" s="24" t="s">
        <v>2</v>
      </c>
      <c r="L142" s="14" t="s">
        <v>3</v>
      </c>
      <c r="M142" s="24">
        <v>1</v>
      </c>
      <c r="N142" s="24">
        <v>2</v>
      </c>
      <c r="O142" s="24">
        <v>9</v>
      </c>
      <c r="P142" s="24">
        <v>0</v>
      </c>
      <c r="Q142" s="24">
        <v>5</v>
      </c>
      <c r="R142" s="24">
        <v>9</v>
      </c>
      <c r="S142" s="24">
        <v>1</v>
      </c>
      <c r="T142" s="24">
        <v>7</v>
      </c>
      <c r="U142" s="24">
        <v>1</v>
      </c>
      <c r="V142" s="24">
        <v>11</v>
      </c>
      <c r="W142" s="24">
        <v>8</v>
      </c>
      <c r="X142" s="24">
        <v>5</v>
      </c>
      <c r="Y142" s="24">
        <v>1</v>
      </c>
      <c r="Z142" s="24">
        <v>0</v>
      </c>
      <c r="AA142" s="24">
        <v>0</v>
      </c>
      <c r="AB142" s="24">
        <v>0</v>
      </c>
      <c r="AC142" s="27">
        <f>SUMPRODUCT(OG_Data!D$1:S$1, M142:AB142) /SUM(M142:AB142)</f>
        <v>7.5666666666666664</v>
      </c>
      <c r="AD142" s="24">
        <f t="shared" si="10"/>
        <v>60</v>
      </c>
      <c r="AE142" s="24">
        <v>0</v>
      </c>
      <c r="AF142" s="24">
        <v>6</v>
      </c>
      <c r="AG142">
        <v>25</v>
      </c>
      <c r="AH142">
        <f>Table3[[#This Row],[Flies_per_Vial]]*Table3[[#This Row],[Vials_Total_UsedInMaze]]</f>
        <v>150</v>
      </c>
      <c r="AI142">
        <f>Table3[[#This Row],[total_Flies]]/Table3[[#This Row],[flies_in]]</f>
        <v>0.4</v>
      </c>
      <c r="AJ142"/>
      <c r="AK142" s="31">
        <f t="shared" si="9"/>
        <v>9.2833333333333439</v>
      </c>
      <c r="AL142" s="33">
        <f t="shared" si="11"/>
        <v>11.683333333333334</v>
      </c>
      <c r="AM142" s="33">
        <f>Table3[[#This Row],[end_time_num]]-Table3[[#This Row],[start_time_num]]</f>
        <v>2.3999999999999897</v>
      </c>
    </row>
    <row r="143" spans="1:39" s="24" customFormat="1" x14ac:dyDescent="0.35">
      <c r="A143" s="24">
        <v>8</v>
      </c>
      <c r="B143" s="24">
        <v>2</v>
      </c>
      <c r="C143" t="s">
        <v>154</v>
      </c>
      <c r="D143" s="24" t="s">
        <v>124</v>
      </c>
      <c r="E143" s="28">
        <v>0.38680555555555601</v>
      </c>
      <c r="F143" s="28">
        <v>0.50138888888888888</v>
      </c>
      <c r="G143" s="25">
        <v>0.11458333333333287</v>
      </c>
      <c r="H143" s="28" t="s">
        <v>136</v>
      </c>
      <c r="I143" s="24" t="s">
        <v>6</v>
      </c>
      <c r="J143" s="24">
        <v>3</v>
      </c>
      <c r="K143" s="24" t="s">
        <v>1</v>
      </c>
      <c r="L143" s="14" t="s">
        <v>0</v>
      </c>
      <c r="M143" s="24">
        <v>9</v>
      </c>
      <c r="N143" s="24">
        <v>12</v>
      </c>
      <c r="P143" s="24">
        <v>6</v>
      </c>
      <c r="Q143" s="24">
        <v>17</v>
      </c>
      <c r="R143" s="24">
        <v>13</v>
      </c>
      <c r="S143" s="24">
        <v>4</v>
      </c>
      <c r="T143" s="24">
        <v>7</v>
      </c>
      <c r="U143" s="24">
        <v>9</v>
      </c>
      <c r="V143" s="24">
        <v>0</v>
      </c>
      <c r="W143" s="24">
        <v>7</v>
      </c>
      <c r="X143" s="24">
        <v>7</v>
      </c>
      <c r="Y143" s="24">
        <v>10</v>
      </c>
      <c r="Z143" s="24">
        <v>0</v>
      </c>
      <c r="AA143" s="24">
        <v>1</v>
      </c>
      <c r="AB143" s="24">
        <v>0</v>
      </c>
      <c r="AC143" s="27">
        <f>SUMPRODUCT(OG_Data!D$1:S$1, M143:AB143) /SUM(M143:AB143)</f>
        <v>6.7745098039215685</v>
      </c>
      <c r="AD143" s="24">
        <f t="shared" si="10"/>
        <v>102</v>
      </c>
      <c r="AE143" s="24">
        <v>0</v>
      </c>
      <c r="AF143" s="24">
        <v>6</v>
      </c>
      <c r="AG143">
        <v>25</v>
      </c>
      <c r="AH143">
        <f>Table3[[#This Row],[Flies_per_Vial]]*Table3[[#This Row],[Vials_Total_UsedInMaze]]</f>
        <v>150</v>
      </c>
      <c r="AI143">
        <f>Table3[[#This Row],[total_Flies]]/Table3[[#This Row],[flies_in]]</f>
        <v>0.68</v>
      </c>
      <c r="AJ143"/>
      <c r="AK143" s="31">
        <f t="shared" si="9"/>
        <v>9.2833333333333439</v>
      </c>
      <c r="AL143" s="33">
        <f t="shared" si="11"/>
        <v>12.033333333333333</v>
      </c>
      <c r="AM143" s="33">
        <f>Table3[[#This Row],[end_time_num]]-Table3[[#This Row],[start_time_num]]</f>
        <v>2.7499999999999893</v>
      </c>
    </row>
    <row r="144" spans="1:39" s="24" customFormat="1" x14ac:dyDescent="0.35">
      <c r="A144" s="24">
        <v>8</v>
      </c>
      <c r="B144" s="24">
        <v>2</v>
      </c>
      <c r="C144" t="s">
        <v>155</v>
      </c>
      <c r="D144" s="24" t="s">
        <v>124</v>
      </c>
      <c r="E144" s="28">
        <v>0.53819444444444442</v>
      </c>
      <c r="F144" s="28">
        <v>0.73541666666666672</v>
      </c>
      <c r="G144" s="25">
        <v>0.1972222222222223</v>
      </c>
      <c r="H144" s="28" t="s">
        <v>136</v>
      </c>
      <c r="I144" s="24" t="s">
        <v>6</v>
      </c>
      <c r="J144" s="24">
        <v>4</v>
      </c>
      <c r="K144" s="24" t="s">
        <v>5</v>
      </c>
      <c r="L144" s="14" t="s">
        <v>0</v>
      </c>
      <c r="M144" s="24">
        <v>0</v>
      </c>
      <c r="N144" s="24">
        <v>0</v>
      </c>
      <c r="O144" s="24">
        <v>3</v>
      </c>
      <c r="P144" s="24">
        <v>10</v>
      </c>
      <c r="Q144" s="24">
        <v>10</v>
      </c>
      <c r="R144" s="24">
        <v>6</v>
      </c>
      <c r="S144" s="24">
        <v>6</v>
      </c>
      <c r="T144" s="24">
        <v>13</v>
      </c>
      <c r="U144" s="24">
        <v>3</v>
      </c>
      <c r="V144" s="24">
        <v>2</v>
      </c>
      <c r="W144" s="24">
        <v>9</v>
      </c>
      <c r="X144" s="24">
        <v>7</v>
      </c>
      <c r="Y144" s="24">
        <v>5</v>
      </c>
      <c r="Z144" s="24">
        <v>4</v>
      </c>
      <c r="AA144" s="24">
        <v>11</v>
      </c>
      <c r="AB144" s="24">
        <v>2</v>
      </c>
      <c r="AC144" s="27">
        <f>SUMPRODUCT(OG_Data!D$1:S$1, M144:AB144) /SUM(M144:AB144)</f>
        <v>9.1098901098901095</v>
      </c>
      <c r="AD144" s="24">
        <f t="shared" si="10"/>
        <v>91</v>
      </c>
      <c r="AE144" s="24">
        <v>0</v>
      </c>
      <c r="AF144" s="24">
        <v>6</v>
      </c>
      <c r="AG144">
        <v>25</v>
      </c>
      <c r="AH144">
        <f>Table3[[#This Row],[Flies_per_Vial]]*Table3[[#This Row],[Vials_Total_UsedInMaze]]</f>
        <v>150</v>
      </c>
      <c r="AI144">
        <f>Table3[[#This Row],[total_Flies]]/Table3[[#This Row],[flies_in]]</f>
        <v>0.60666666666666669</v>
      </c>
      <c r="AJ144"/>
      <c r="AK144" s="31">
        <f t="shared" si="9"/>
        <v>12.916666666666666</v>
      </c>
      <c r="AL144" s="33">
        <f t="shared" si="11"/>
        <v>17.650000000000002</v>
      </c>
      <c r="AM144" s="33">
        <f>Table3[[#This Row],[end_time_num]]-Table3[[#This Row],[start_time_num]]</f>
        <v>4.7333333333333361</v>
      </c>
    </row>
    <row r="145" spans="1:39" s="24" customFormat="1" x14ac:dyDescent="0.35">
      <c r="A145" s="24">
        <v>8</v>
      </c>
      <c r="B145" s="24">
        <v>2</v>
      </c>
      <c r="C145" t="s">
        <v>155</v>
      </c>
      <c r="D145" s="24" t="s">
        <v>124</v>
      </c>
      <c r="E145" s="28">
        <v>0.53819444444444442</v>
      </c>
      <c r="F145" s="28">
        <v>0.74375000000000002</v>
      </c>
      <c r="G145" s="25">
        <v>0.2055555555555556</v>
      </c>
      <c r="H145" s="28" t="s">
        <v>136</v>
      </c>
      <c r="I145" s="24" t="s">
        <v>6</v>
      </c>
      <c r="J145" s="24">
        <v>4</v>
      </c>
      <c r="K145" s="24" t="s">
        <v>4</v>
      </c>
      <c r="L145" s="14" t="s">
        <v>3</v>
      </c>
      <c r="M145" s="24">
        <v>22</v>
      </c>
      <c r="N145" s="24">
        <v>15</v>
      </c>
      <c r="O145" s="24">
        <v>4</v>
      </c>
      <c r="P145" s="24">
        <v>3</v>
      </c>
      <c r="Q145" s="24">
        <v>8</v>
      </c>
      <c r="R145" s="24">
        <v>14</v>
      </c>
      <c r="S145" s="24">
        <v>3</v>
      </c>
      <c r="T145" s="24">
        <v>3</v>
      </c>
      <c r="U145" s="24">
        <v>4</v>
      </c>
      <c r="V145" s="24">
        <v>4</v>
      </c>
      <c r="W145" s="24">
        <v>1</v>
      </c>
      <c r="X145" s="24">
        <v>0</v>
      </c>
      <c r="Y145" s="24">
        <v>1</v>
      </c>
      <c r="Z145" s="24">
        <v>0</v>
      </c>
      <c r="AA145" s="24">
        <v>2</v>
      </c>
      <c r="AB145" s="24">
        <v>0</v>
      </c>
      <c r="AC145" s="27">
        <f>SUMPRODUCT(OG_Data!D$1:S$1, M145:AB145) /SUM(M145:AB145)</f>
        <v>4.4642857142857144</v>
      </c>
      <c r="AD145" s="24">
        <f t="shared" si="10"/>
        <v>84</v>
      </c>
      <c r="AE145" s="24">
        <v>0</v>
      </c>
      <c r="AF145" s="24">
        <v>6</v>
      </c>
      <c r="AG145">
        <v>25</v>
      </c>
      <c r="AH145">
        <f>Table3[[#This Row],[Flies_per_Vial]]*Table3[[#This Row],[Vials_Total_UsedInMaze]]</f>
        <v>150</v>
      </c>
      <c r="AI145">
        <f>Table3[[#This Row],[total_Flies]]/Table3[[#This Row],[flies_in]]</f>
        <v>0.56000000000000005</v>
      </c>
      <c r="AJ145"/>
      <c r="AK145" s="31">
        <f t="shared" si="9"/>
        <v>12.916666666666666</v>
      </c>
      <c r="AL145" s="33">
        <f t="shared" si="11"/>
        <v>17.850000000000001</v>
      </c>
      <c r="AM145" s="33">
        <f>Table3[[#This Row],[end_time_num]]-Table3[[#This Row],[start_time_num]]</f>
        <v>4.9333333333333353</v>
      </c>
    </row>
    <row r="146" spans="1:39" s="24" customFormat="1" x14ac:dyDescent="0.35">
      <c r="A146" s="24">
        <v>8</v>
      </c>
      <c r="B146" s="24">
        <v>2</v>
      </c>
      <c r="C146" t="s">
        <v>155</v>
      </c>
      <c r="D146" s="24" t="s">
        <v>124</v>
      </c>
      <c r="E146" s="28">
        <v>0.53819444444444442</v>
      </c>
      <c r="F146" s="28">
        <v>0.74861111111111112</v>
      </c>
      <c r="G146" s="25">
        <v>0.2104166666666667</v>
      </c>
      <c r="H146" s="28" t="s">
        <v>136</v>
      </c>
      <c r="I146" s="24" t="s">
        <v>6</v>
      </c>
      <c r="J146" s="24">
        <v>4</v>
      </c>
      <c r="K146" s="24" t="s">
        <v>2</v>
      </c>
      <c r="L146" s="14" t="s">
        <v>3</v>
      </c>
      <c r="M146" s="24">
        <v>3</v>
      </c>
      <c r="N146" s="24">
        <v>4</v>
      </c>
      <c r="O146" s="24">
        <v>16</v>
      </c>
      <c r="P146" s="24">
        <v>6</v>
      </c>
      <c r="Q146" s="24">
        <v>11</v>
      </c>
      <c r="R146" s="24">
        <v>10</v>
      </c>
      <c r="S146" s="24">
        <v>5</v>
      </c>
      <c r="T146" s="24">
        <v>3</v>
      </c>
      <c r="U146" s="24">
        <v>5</v>
      </c>
      <c r="V146" s="24">
        <v>1</v>
      </c>
      <c r="W146" s="24">
        <v>1</v>
      </c>
      <c r="X146" s="24">
        <v>0</v>
      </c>
      <c r="Y146" s="24">
        <v>2</v>
      </c>
      <c r="Z146" s="24">
        <v>0</v>
      </c>
      <c r="AA146" s="24">
        <v>0</v>
      </c>
      <c r="AB146" s="24">
        <v>1</v>
      </c>
      <c r="AC146" s="27">
        <f>SUMPRODUCT(OG_Data!D$1:S$1, M146:AB146) /SUM(M146:AB146)</f>
        <v>5.367647058823529</v>
      </c>
      <c r="AD146" s="24">
        <f t="shared" si="10"/>
        <v>68</v>
      </c>
      <c r="AE146" s="24">
        <v>0</v>
      </c>
      <c r="AF146" s="24">
        <v>6</v>
      </c>
      <c r="AG146">
        <v>25</v>
      </c>
      <c r="AH146">
        <f>Table3[[#This Row],[Flies_per_Vial]]*Table3[[#This Row],[Vials_Total_UsedInMaze]]</f>
        <v>150</v>
      </c>
      <c r="AI146">
        <f>Table3[[#This Row],[total_Flies]]/Table3[[#This Row],[flies_in]]</f>
        <v>0.45333333333333331</v>
      </c>
      <c r="AJ146"/>
      <c r="AK146" s="31">
        <f t="shared" si="9"/>
        <v>12.916666666666666</v>
      </c>
      <c r="AL146" s="33">
        <f t="shared" si="11"/>
        <v>17.966666666666669</v>
      </c>
      <c r="AM146" s="33">
        <f>Table3[[#This Row],[end_time_num]]-Table3[[#This Row],[start_time_num]]</f>
        <v>5.0500000000000025</v>
      </c>
    </row>
    <row r="147" spans="1:39" s="24" customFormat="1" x14ac:dyDescent="0.35">
      <c r="A147" s="24">
        <v>8</v>
      </c>
      <c r="B147" s="24">
        <v>2</v>
      </c>
      <c r="C147" t="s">
        <v>155</v>
      </c>
      <c r="D147" s="24" t="s">
        <v>124</v>
      </c>
      <c r="E147" s="28">
        <v>0.53819444444444442</v>
      </c>
      <c r="F147" s="28">
        <v>0.75763888888888886</v>
      </c>
      <c r="G147" s="25">
        <v>0.21944444444444444</v>
      </c>
      <c r="H147" s="28" t="s">
        <v>136</v>
      </c>
      <c r="I147" s="24" t="s">
        <v>6</v>
      </c>
      <c r="J147" s="24">
        <v>4</v>
      </c>
      <c r="K147" s="24" t="s">
        <v>1</v>
      </c>
      <c r="L147" s="14" t="s">
        <v>0</v>
      </c>
      <c r="M147" s="24">
        <v>13</v>
      </c>
      <c r="N147" s="24">
        <v>21</v>
      </c>
      <c r="O147" s="24">
        <v>13</v>
      </c>
      <c r="P147" s="24">
        <v>8</v>
      </c>
      <c r="Q147" s="24">
        <v>14</v>
      </c>
      <c r="R147" s="24">
        <v>11</v>
      </c>
      <c r="S147" s="24">
        <v>17</v>
      </c>
      <c r="T147" s="24">
        <v>6</v>
      </c>
      <c r="U147" s="24">
        <v>8</v>
      </c>
      <c r="V147" s="24">
        <v>2</v>
      </c>
      <c r="W147" s="24">
        <v>1</v>
      </c>
      <c r="X147" s="24">
        <v>1</v>
      </c>
      <c r="Y147" s="24">
        <v>1</v>
      </c>
      <c r="Z147" s="24">
        <v>0</v>
      </c>
      <c r="AA147" s="24">
        <v>0</v>
      </c>
      <c r="AB147" s="24">
        <v>0</v>
      </c>
      <c r="AC147" s="27">
        <f>SUMPRODUCT(OG_Data!D$1:S$1, M147:AB147) /SUM(M147:AB147)</f>
        <v>4.8017241379310347</v>
      </c>
      <c r="AD147" s="24">
        <f t="shared" si="10"/>
        <v>116</v>
      </c>
      <c r="AE147" s="24">
        <v>0</v>
      </c>
      <c r="AF147" s="24">
        <v>6</v>
      </c>
      <c r="AG147">
        <v>25</v>
      </c>
      <c r="AH147">
        <f>Table3[[#This Row],[Flies_per_Vial]]*Table3[[#This Row],[Vials_Total_UsedInMaze]]</f>
        <v>150</v>
      </c>
      <c r="AI147">
        <f>Table3[[#This Row],[total_Flies]]/Table3[[#This Row],[flies_in]]</f>
        <v>0.77333333333333332</v>
      </c>
      <c r="AJ147"/>
      <c r="AK147" s="31">
        <f t="shared" si="9"/>
        <v>12.916666666666666</v>
      </c>
      <c r="AL147" s="33">
        <f t="shared" si="11"/>
        <v>18.183333333333334</v>
      </c>
      <c r="AM147" s="33">
        <f>Table3[[#This Row],[end_time_num]]-Table3[[#This Row],[start_time_num]]</f>
        <v>5.2666666666666675</v>
      </c>
    </row>
    <row r="148" spans="1:39" s="4" customFormat="1" x14ac:dyDescent="0.35">
      <c r="A148" s="4">
        <v>9</v>
      </c>
      <c r="B148" s="4">
        <v>1</v>
      </c>
      <c r="C148" t="s">
        <v>154</v>
      </c>
      <c r="D148" s="4" t="s">
        <v>133</v>
      </c>
      <c r="E148" s="5">
        <v>0.40347222222222223</v>
      </c>
      <c r="F148" s="5">
        <v>0.47361111111111109</v>
      </c>
      <c r="G148" s="12">
        <v>7.0138888888888862E-2</v>
      </c>
      <c r="H148" s="5" t="s">
        <v>136</v>
      </c>
      <c r="I148" s="4" t="s">
        <v>6</v>
      </c>
      <c r="J148" s="4">
        <v>2</v>
      </c>
      <c r="K148" s="4" t="s">
        <v>5</v>
      </c>
      <c r="L148" s="15" t="s">
        <v>3</v>
      </c>
      <c r="M148" s="4">
        <v>1</v>
      </c>
      <c r="N148" s="4">
        <v>1</v>
      </c>
      <c r="O148" s="4">
        <v>3</v>
      </c>
      <c r="P148" s="4">
        <v>0</v>
      </c>
      <c r="Q148" s="4">
        <v>5</v>
      </c>
      <c r="R148" s="4">
        <v>2</v>
      </c>
      <c r="S148" s="4">
        <v>6</v>
      </c>
      <c r="T148" s="4">
        <v>5</v>
      </c>
      <c r="U148" s="4">
        <v>8</v>
      </c>
      <c r="V148" s="4">
        <v>12</v>
      </c>
      <c r="W148" s="4">
        <v>6</v>
      </c>
      <c r="X148" s="4">
        <v>4</v>
      </c>
      <c r="Y148" s="4">
        <v>3</v>
      </c>
      <c r="Z148" s="4">
        <v>0</v>
      </c>
      <c r="AA148" s="4">
        <v>18</v>
      </c>
      <c r="AB148" s="4">
        <v>11</v>
      </c>
      <c r="AC148" s="17">
        <f>SUMPRODUCT(OG_Data!D$1:S$1, M148:AB148) /SUM(M148:AB148)</f>
        <v>10.847058823529412</v>
      </c>
      <c r="AD148" s="4">
        <f t="shared" si="10"/>
        <v>85</v>
      </c>
      <c r="AE148" s="4">
        <v>0</v>
      </c>
      <c r="AF148" s="4">
        <v>6</v>
      </c>
      <c r="AG148">
        <v>25</v>
      </c>
      <c r="AH148">
        <f>Table3[[#This Row],[Flies_per_Vial]]*Table3[[#This Row],[Vials_Total_UsedInMaze]]</f>
        <v>150</v>
      </c>
      <c r="AI148">
        <f>Table3[[#This Row],[total_Flies]]/Table3[[#This Row],[flies_in]]</f>
        <v>0.56666666666666665</v>
      </c>
      <c r="AJ148"/>
      <c r="AK148" s="29">
        <f t="shared" si="9"/>
        <v>9.6833333333333336</v>
      </c>
      <c r="AL148" s="29">
        <f t="shared" si="11"/>
        <v>11.366666666666667</v>
      </c>
      <c r="AM148" s="29">
        <f>Table3[[#This Row],[end_time_num]]-Table3[[#This Row],[start_time_num]]</f>
        <v>1.6833333333333336</v>
      </c>
    </row>
    <row r="149" spans="1:39" s="4" customFormat="1" x14ac:dyDescent="0.35">
      <c r="A149" s="4">
        <v>9</v>
      </c>
      <c r="B149" s="4">
        <v>1</v>
      </c>
      <c r="C149" t="s">
        <v>154</v>
      </c>
      <c r="D149" s="4" t="s">
        <v>133</v>
      </c>
      <c r="E149" s="5">
        <v>0.40347222222222223</v>
      </c>
      <c r="F149" s="5">
        <v>0.48055555555555557</v>
      </c>
      <c r="G149" s="12">
        <v>7.7083333333333337E-2</v>
      </c>
      <c r="H149" s="5" t="s">
        <v>136</v>
      </c>
      <c r="I149" s="4" t="s">
        <v>6</v>
      </c>
      <c r="J149" s="4">
        <v>2</v>
      </c>
      <c r="K149" s="4" t="s">
        <v>4</v>
      </c>
      <c r="L149" s="15" t="s">
        <v>0</v>
      </c>
      <c r="M149" s="4">
        <v>4</v>
      </c>
      <c r="N149" s="4">
        <v>6</v>
      </c>
      <c r="O149" s="4">
        <v>7</v>
      </c>
      <c r="P149" s="4">
        <v>4</v>
      </c>
      <c r="Q149" s="4">
        <v>5</v>
      </c>
      <c r="R149" s="4">
        <v>9</v>
      </c>
      <c r="S149" s="4">
        <v>18</v>
      </c>
      <c r="T149" s="4">
        <v>9</v>
      </c>
      <c r="U149" s="4">
        <v>13</v>
      </c>
      <c r="V149" s="4">
        <v>10</v>
      </c>
      <c r="W149" s="4">
        <v>4</v>
      </c>
      <c r="X149" s="4">
        <v>3</v>
      </c>
      <c r="Y149" s="4">
        <v>3</v>
      </c>
      <c r="Z149" s="4">
        <v>1</v>
      </c>
      <c r="AA149" s="4">
        <v>1</v>
      </c>
      <c r="AB149" s="4">
        <v>2</v>
      </c>
      <c r="AC149" s="17">
        <f>SUMPRODUCT(OG_Data!D$1:S$1, M149:AB149) /SUM(M149:AB149)</f>
        <v>7.3434343434343434</v>
      </c>
      <c r="AD149" s="4">
        <f t="shared" si="10"/>
        <v>99</v>
      </c>
      <c r="AE149" s="4">
        <v>1</v>
      </c>
      <c r="AF149" s="4">
        <v>6</v>
      </c>
      <c r="AG149">
        <v>25</v>
      </c>
      <c r="AH149">
        <f>Table3[[#This Row],[Flies_per_Vial]]*Table3[[#This Row],[Vials_Total_UsedInMaze]]</f>
        <v>150</v>
      </c>
      <c r="AI149">
        <f>Table3[[#This Row],[total_Flies]]/Table3[[#This Row],[flies_in]]</f>
        <v>0.66</v>
      </c>
      <c r="AJ149"/>
      <c r="AK149" s="29">
        <f t="shared" si="9"/>
        <v>9.6833333333333336</v>
      </c>
      <c r="AL149" s="29">
        <f t="shared" si="11"/>
        <v>11.533333333333333</v>
      </c>
      <c r="AM149" s="29">
        <f>Table3[[#This Row],[end_time_num]]-Table3[[#This Row],[start_time_num]]</f>
        <v>1.8499999999999996</v>
      </c>
    </row>
    <row r="150" spans="1:39" s="4" customFormat="1" x14ac:dyDescent="0.35">
      <c r="A150" s="4">
        <v>9</v>
      </c>
      <c r="B150" s="4">
        <v>1</v>
      </c>
      <c r="C150" t="s">
        <v>154</v>
      </c>
      <c r="D150" s="4" t="s">
        <v>133</v>
      </c>
      <c r="E150" s="5">
        <v>0.40347222222222223</v>
      </c>
      <c r="F150" s="5">
        <v>0.48680555555555555</v>
      </c>
      <c r="G150" s="12">
        <v>8.3333333333333315E-2</v>
      </c>
      <c r="H150" s="5" t="s">
        <v>136</v>
      </c>
      <c r="I150" s="4" t="s">
        <v>6</v>
      </c>
      <c r="J150" s="4">
        <v>2</v>
      </c>
      <c r="K150" s="4" t="s">
        <v>2</v>
      </c>
      <c r="L150" s="15" t="s">
        <v>0</v>
      </c>
      <c r="M150" s="4">
        <v>0</v>
      </c>
      <c r="N150" s="4">
        <v>0</v>
      </c>
      <c r="O150" s="4">
        <v>0</v>
      </c>
      <c r="P150" s="4">
        <v>2</v>
      </c>
      <c r="Q150" s="4">
        <v>0</v>
      </c>
      <c r="R150" s="4">
        <v>17</v>
      </c>
      <c r="S150" s="4">
        <v>6</v>
      </c>
      <c r="T150" s="4">
        <v>6</v>
      </c>
      <c r="U150" s="4">
        <v>10</v>
      </c>
      <c r="V150" s="4">
        <v>4</v>
      </c>
      <c r="W150" s="4">
        <v>3</v>
      </c>
      <c r="X150" s="4">
        <v>2</v>
      </c>
      <c r="Y150" s="4">
        <v>0</v>
      </c>
      <c r="Z150" s="4">
        <v>1</v>
      </c>
      <c r="AA150" s="4">
        <v>0</v>
      </c>
      <c r="AB150" s="4">
        <v>0</v>
      </c>
      <c r="AC150" s="17">
        <f>SUMPRODUCT(OG_Data!D$1:S$1, M150:AB150) /SUM(M150:AB150)</f>
        <v>7.8627450980392153</v>
      </c>
      <c r="AD150" s="4">
        <f t="shared" si="10"/>
        <v>51</v>
      </c>
      <c r="AE150" s="4">
        <v>2</v>
      </c>
      <c r="AF150" s="4">
        <v>6</v>
      </c>
      <c r="AG150">
        <v>25</v>
      </c>
      <c r="AH150">
        <f>Table3[[#This Row],[Flies_per_Vial]]*Table3[[#This Row],[Vials_Total_UsedInMaze]]</f>
        <v>150</v>
      </c>
      <c r="AI150">
        <f>Table3[[#This Row],[total_Flies]]/Table3[[#This Row],[flies_in]]</f>
        <v>0.34</v>
      </c>
      <c r="AJ150"/>
      <c r="AK150" s="29">
        <f t="shared" si="9"/>
        <v>9.6833333333333336</v>
      </c>
      <c r="AL150" s="29">
        <f t="shared" si="11"/>
        <v>11.683333333333334</v>
      </c>
      <c r="AM150" s="29">
        <f>Table3[[#This Row],[end_time_num]]-Table3[[#This Row],[start_time_num]]</f>
        <v>2</v>
      </c>
    </row>
    <row r="151" spans="1:39" s="4" customFormat="1" x14ac:dyDescent="0.35">
      <c r="A151" s="4">
        <v>9</v>
      </c>
      <c r="B151" s="4">
        <v>1</v>
      </c>
      <c r="C151" t="s">
        <v>154</v>
      </c>
      <c r="D151" s="4" t="s">
        <v>133</v>
      </c>
      <c r="E151" s="5">
        <v>0.40347222222222223</v>
      </c>
      <c r="F151" s="5">
        <v>0.49236111111111114</v>
      </c>
      <c r="G151" s="12">
        <v>8.8888888888888906E-2</v>
      </c>
      <c r="H151" s="5" t="s">
        <v>136</v>
      </c>
      <c r="I151" s="4" t="s">
        <v>6</v>
      </c>
      <c r="J151" s="4">
        <v>2</v>
      </c>
      <c r="K151" s="4" t="s">
        <v>1</v>
      </c>
      <c r="L151" s="15" t="s">
        <v>3</v>
      </c>
      <c r="M151" s="4">
        <v>3</v>
      </c>
      <c r="N151" s="4">
        <v>2</v>
      </c>
      <c r="O151" s="4">
        <v>3</v>
      </c>
      <c r="P151" s="4">
        <v>2</v>
      </c>
      <c r="Q151" s="4">
        <v>1</v>
      </c>
      <c r="R151" s="4">
        <v>2</v>
      </c>
      <c r="S151" s="4">
        <v>4</v>
      </c>
      <c r="T151" s="4">
        <v>7</v>
      </c>
      <c r="U151" s="4">
        <v>2</v>
      </c>
      <c r="V151" s="4">
        <v>0</v>
      </c>
      <c r="W151" s="4">
        <v>3</v>
      </c>
      <c r="X151" s="4">
        <v>1</v>
      </c>
      <c r="Y151" s="4">
        <v>2</v>
      </c>
      <c r="Z151" s="4">
        <v>1</v>
      </c>
      <c r="AA151" s="4">
        <v>1</v>
      </c>
      <c r="AB151" s="4">
        <v>0</v>
      </c>
      <c r="AC151" s="17">
        <f>SUMPRODUCT(OG_Data!D$1:S$1, M151:AB151) /SUM(M151:AB151)</f>
        <v>7.1470588235294121</v>
      </c>
      <c r="AD151" s="4">
        <f t="shared" si="10"/>
        <v>34</v>
      </c>
      <c r="AE151" s="4">
        <v>0</v>
      </c>
      <c r="AF151" s="4">
        <v>6</v>
      </c>
      <c r="AG151">
        <v>25</v>
      </c>
      <c r="AH151">
        <f>Table3[[#This Row],[Flies_per_Vial]]*Table3[[#This Row],[Vials_Total_UsedInMaze]]</f>
        <v>150</v>
      </c>
      <c r="AI151">
        <f>Table3[[#This Row],[total_Flies]]/Table3[[#This Row],[flies_in]]</f>
        <v>0.22666666666666666</v>
      </c>
      <c r="AJ151"/>
      <c r="AK151" s="29">
        <f t="shared" si="9"/>
        <v>9.6833333333333336</v>
      </c>
      <c r="AL151" s="29">
        <f t="shared" si="11"/>
        <v>11.816666666666666</v>
      </c>
      <c r="AM151" s="29">
        <f>Table3[[#This Row],[end_time_num]]-Table3[[#This Row],[start_time_num]]</f>
        <v>2.1333333333333329</v>
      </c>
    </row>
    <row r="152" spans="1:39" s="4" customFormat="1" x14ac:dyDescent="0.35">
      <c r="A152" s="4">
        <v>9</v>
      </c>
      <c r="B152" s="4">
        <v>1</v>
      </c>
      <c r="C152" t="s">
        <v>155</v>
      </c>
      <c r="D152" s="4" t="s">
        <v>133</v>
      </c>
      <c r="E152" s="5">
        <v>0.50416666666666665</v>
      </c>
      <c r="F152" s="5">
        <v>0.67013888888888884</v>
      </c>
      <c r="G152" s="12">
        <v>0.16597222222222219</v>
      </c>
      <c r="H152" s="5" t="s">
        <v>136</v>
      </c>
      <c r="I152" s="4" t="s">
        <v>6</v>
      </c>
      <c r="J152" s="4">
        <v>1</v>
      </c>
      <c r="K152" s="4" t="s">
        <v>5</v>
      </c>
      <c r="L152" s="15" t="s">
        <v>3</v>
      </c>
      <c r="M152" s="4">
        <v>0</v>
      </c>
      <c r="N152" s="4">
        <v>1</v>
      </c>
      <c r="O152" s="4">
        <v>0</v>
      </c>
      <c r="P152" s="4">
        <v>0</v>
      </c>
      <c r="Q152" s="4">
        <v>1</v>
      </c>
      <c r="R152" s="4">
        <v>2</v>
      </c>
      <c r="S152" s="4">
        <v>3</v>
      </c>
      <c r="T152" s="4">
        <v>2</v>
      </c>
      <c r="U152" s="4">
        <v>4</v>
      </c>
      <c r="V152" s="4">
        <v>23</v>
      </c>
      <c r="W152" s="4">
        <v>9</v>
      </c>
      <c r="X152" s="4">
        <v>7</v>
      </c>
      <c r="Y152" s="4">
        <v>8</v>
      </c>
      <c r="Z152" s="4">
        <v>4</v>
      </c>
      <c r="AA152" s="4">
        <v>33</v>
      </c>
      <c r="AB152" s="4">
        <v>25</v>
      </c>
      <c r="AC152" s="17">
        <f>SUMPRODUCT(OG_Data!D$1:S$1, M152:AB152) /SUM(M152:AB152)</f>
        <v>12.78688524590164</v>
      </c>
      <c r="AD152" s="4">
        <f t="shared" si="10"/>
        <v>122</v>
      </c>
      <c r="AE152" s="4">
        <v>0</v>
      </c>
      <c r="AF152" s="4">
        <v>6</v>
      </c>
      <c r="AG152">
        <v>25</v>
      </c>
      <c r="AH152">
        <f>Table3[[#This Row],[Flies_per_Vial]]*Table3[[#This Row],[Vials_Total_UsedInMaze]]</f>
        <v>150</v>
      </c>
      <c r="AI152">
        <f>Table3[[#This Row],[total_Flies]]/Table3[[#This Row],[flies_in]]</f>
        <v>0.81333333333333335</v>
      </c>
      <c r="AJ152"/>
      <c r="AK152" s="29">
        <f t="shared" si="9"/>
        <v>12.1</v>
      </c>
      <c r="AL152" s="29">
        <f t="shared" si="11"/>
        <v>16.083333333333332</v>
      </c>
      <c r="AM152" s="29">
        <f>Table3[[#This Row],[end_time_num]]-Table3[[#This Row],[start_time_num]]</f>
        <v>3.9833333333333325</v>
      </c>
    </row>
    <row r="153" spans="1:39" s="4" customFormat="1" x14ac:dyDescent="0.35">
      <c r="A153" s="4">
        <v>9</v>
      </c>
      <c r="B153" s="4">
        <v>1</v>
      </c>
      <c r="C153" t="s">
        <v>155</v>
      </c>
      <c r="D153" s="4" t="s">
        <v>133</v>
      </c>
      <c r="E153" s="5">
        <v>0.50416666666666665</v>
      </c>
      <c r="F153" s="5">
        <v>0.67569444444444449</v>
      </c>
      <c r="G153" s="12">
        <v>0.17152777777777783</v>
      </c>
      <c r="H153" s="5" t="s">
        <v>136</v>
      </c>
      <c r="I153" s="4" t="s">
        <v>6</v>
      </c>
      <c r="J153" s="4">
        <v>1</v>
      </c>
      <c r="K153" s="4" t="s">
        <v>4</v>
      </c>
      <c r="L153" s="15" t="s">
        <v>0</v>
      </c>
      <c r="M153" s="4">
        <v>8</v>
      </c>
      <c r="N153" s="4">
        <v>25</v>
      </c>
      <c r="O153" s="4">
        <v>13</v>
      </c>
      <c r="P153" s="4">
        <v>3</v>
      </c>
      <c r="Q153" s="4">
        <v>10</v>
      </c>
      <c r="R153" s="4">
        <v>14</v>
      </c>
      <c r="S153" s="4">
        <v>12</v>
      </c>
      <c r="T153" s="4">
        <v>16</v>
      </c>
      <c r="U153" s="4">
        <v>7</v>
      </c>
      <c r="V153" s="4">
        <v>10</v>
      </c>
      <c r="W153" s="4">
        <v>12</v>
      </c>
      <c r="X153" s="4">
        <v>8</v>
      </c>
      <c r="Y153" s="4">
        <v>9</v>
      </c>
      <c r="Z153" s="4">
        <v>2</v>
      </c>
      <c r="AA153" s="4">
        <v>1</v>
      </c>
      <c r="AB153" s="4">
        <v>0</v>
      </c>
      <c r="AC153" s="17">
        <f>SUMPRODUCT(OG_Data!D$1:S$1, M153:AB153) /SUM(M153:AB153)</f>
        <v>6.706666666666667</v>
      </c>
      <c r="AD153" s="4">
        <f t="shared" si="10"/>
        <v>150</v>
      </c>
      <c r="AE153" s="4">
        <v>0</v>
      </c>
      <c r="AF153" s="4">
        <v>6</v>
      </c>
      <c r="AG153">
        <v>25</v>
      </c>
      <c r="AH153">
        <f>Table3[[#This Row],[Flies_per_Vial]]*Table3[[#This Row],[Vials_Total_UsedInMaze]]</f>
        <v>150</v>
      </c>
      <c r="AI153">
        <f>Table3[[#This Row],[total_Flies]]/Table3[[#This Row],[flies_in]]</f>
        <v>1</v>
      </c>
      <c r="AJ153"/>
      <c r="AK153" s="29">
        <f t="shared" si="9"/>
        <v>12.1</v>
      </c>
      <c r="AL153" s="29">
        <f t="shared" si="11"/>
        <v>16.216666666666669</v>
      </c>
      <c r="AM153" s="29">
        <f>Table3[[#This Row],[end_time_num]]-Table3[[#This Row],[start_time_num]]</f>
        <v>4.1166666666666689</v>
      </c>
    </row>
    <row r="154" spans="1:39" s="4" customFormat="1" x14ac:dyDescent="0.35">
      <c r="A154" s="4">
        <v>9</v>
      </c>
      <c r="B154" s="4">
        <v>1</v>
      </c>
      <c r="C154" t="s">
        <v>155</v>
      </c>
      <c r="D154" s="4" t="s">
        <v>133</v>
      </c>
      <c r="E154" s="5">
        <v>0.50416666666666665</v>
      </c>
      <c r="F154" s="5">
        <v>0.68194444444444446</v>
      </c>
      <c r="G154" s="12">
        <v>0.17777777777777781</v>
      </c>
      <c r="H154" s="5" t="s">
        <v>136</v>
      </c>
      <c r="I154" s="4" t="s">
        <v>6</v>
      </c>
      <c r="J154" s="4">
        <v>1</v>
      </c>
      <c r="K154" s="4" t="s">
        <v>2</v>
      </c>
      <c r="L154" s="15" t="s">
        <v>0</v>
      </c>
      <c r="M154" s="4">
        <v>0</v>
      </c>
      <c r="N154" s="4">
        <v>0</v>
      </c>
      <c r="O154" s="4">
        <v>0</v>
      </c>
      <c r="P154" s="4">
        <v>0</v>
      </c>
      <c r="Q154" s="4">
        <v>1</v>
      </c>
      <c r="R154" s="4">
        <v>11</v>
      </c>
      <c r="S154" s="4">
        <v>5</v>
      </c>
      <c r="T154" s="4">
        <v>7</v>
      </c>
      <c r="U154" s="4">
        <v>8</v>
      </c>
      <c r="V154" s="4">
        <v>2</v>
      </c>
      <c r="W154" s="4">
        <v>0</v>
      </c>
      <c r="X154" s="4">
        <v>1</v>
      </c>
      <c r="Y154" s="4">
        <v>1</v>
      </c>
      <c r="Z154" s="4">
        <v>0</v>
      </c>
      <c r="AA154" s="4">
        <v>0</v>
      </c>
      <c r="AB154" s="4">
        <v>0</v>
      </c>
      <c r="AC154" s="17">
        <f>SUMPRODUCT(OG_Data!D$1:S$1, M154:AB154) /SUM(M154:AB154)</f>
        <v>7.75</v>
      </c>
      <c r="AD154" s="4">
        <f t="shared" si="10"/>
        <v>36</v>
      </c>
      <c r="AE154" s="4">
        <v>1</v>
      </c>
      <c r="AF154" s="4">
        <v>6</v>
      </c>
      <c r="AG154">
        <v>25</v>
      </c>
      <c r="AH154">
        <f>Table3[[#This Row],[Flies_per_Vial]]*Table3[[#This Row],[Vials_Total_UsedInMaze]]</f>
        <v>150</v>
      </c>
      <c r="AI154">
        <f>Table3[[#This Row],[total_Flies]]/Table3[[#This Row],[flies_in]]</f>
        <v>0.24</v>
      </c>
      <c r="AJ154"/>
      <c r="AK154" s="29">
        <f t="shared" si="9"/>
        <v>12.1</v>
      </c>
      <c r="AL154" s="29">
        <f t="shared" si="11"/>
        <v>16.366666666666667</v>
      </c>
      <c r="AM154" s="29">
        <f>Table3[[#This Row],[end_time_num]]-Table3[[#This Row],[start_time_num]]</f>
        <v>4.2666666666666675</v>
      </c>
    </row>
    <row r="155" spans="1:39" s="4" customFormat="1" x14ac:dyDescent="0.35">
      <c r="A155" s="4">
        <v>9</v>
      </c>
      <c r="B155" s="4">
        <v>1</v>
      </c>
      <c r="C155" t="s">
        <v>155</v>
      </c>
      <c r="D155" s="4" t="s">
        <v>133</v>
      </c>
      <c r="E155" s="5">
        <v>0.50416666666666665</v>
      </c>
      <c r="F155" s="5">
        <v>0.68680555555555556</v>
      </c>
      <c r="G155" s="12">
        <v>0.18263888888888891</v>
      </c>
      <c r="H155" s="5" t="s">
        <v>136</v>
      </c>
      <c r="I155" s="4" t="s">
        <v>6</v>
      </c>
      <c r="J155" s="4">
        <v>1</v>
      </c>
      <c r="K155" s="4" t="s">
        <v>1</v>
      </c>
      <c r="L155" s="15" t="s">
        <v>3</v>
      </c>
      <c r="M155" s="4">
        <v>16</v>
      </c>
      <c r="N155" s="4">
        <v>13</v>
      </c>
      <c r="O155" s="4">
        <v>11</v>
      </c>
      <c r="P155" s="4">
        <v>16</v>
      </c>
      <c r="Q155" s="4">
        <v>11</v>
      </c>
      <c r="R155" s="4">
        <v>18</v>
      </c>
      <c r="S155" s="4">
        <v>7</v>
      </c>
      <c r="T155" s="4">
        <v>4</v>
      </c>
      <c r="U155" s="4">
        <v>8</v>
      </c>
      <c r="V155" s="4">
        <v>0</v>
      </c>
      <c r="W155" s="4">
        <v>4</v>
      </c>
      <c r="X155" s="4">
        <v>3</v>
      </c>
      <c r="Y155" s="4">
        <v>1</v>
      </c>
      <c r="Z155" s="4">
        <v>2</v>
      </c>
      <c r="AA155" s="4">
        <v>0</v>
      </c>
      <c r="AB155" s="4">
        <v>0</v>
      </c>
      <c r="AC155" s="17">
        <f>SUMPRODUCT(OG_Data!D$1:S$1, M155:AB155) /SUM(M155:AB155)</f>
        <v>5.0526315789473681</v>
      </c>
      <c r="AD155" s="4">
        <f t="shared" si="10"/>
        <v>114</v>
      </c>
      <c r="AE155" s="4">
        <v>0</v>
      </c>
      <c r="AF155" s="4">
        <v>6</v>
      </c>
      <c r="AG155">
        <v>25</v>
      </c>
      <c r="AH155">
        <f>Table3[[#This Row],[Flies_per_Vial]]*Table3[[#This Row],[Vials_Total_UsedInMaze]]</f>
        <v>150</v>
      </c>
      <c r="AI155">
        <f>Table3[[#This Row],[total_Flies]]/Table3[[#This Row],[flies_in]]</f>
        <v>0.76</v>
      </c>
      <c r="AJ155"/>
      <c r="AK155" s="29">
        <f t="shared" si="9"/>
        <v>12.1</v>
      </c>
      <c r="AL155" s="29">
        <f t="shared" si="11"/>
        <v>16.483333333333334</v>
      </c>
      <c r="AM155" s="29">
        <f>Table3[[#This Row],[end_time_num]]-Table3[[#This Row],[start_time_num]]</f>
        <v>4.3833333333333346</v>
      </c>
    </row>
    <row r="156" spans="1:39" s="4" customFormat="1" x14ac:dyDescent="0.35">
      <c r="A156" s="4">
        <v>9</v>
      </c>
      <c r="B156" s="4">
        <v>2</v>
      </c>
      <c r="C156" t="s">
        <v>154</v>
      </c>
      <c r="D156" s="4" t="s">
        <v>134</v>
      </c>
      <c r="E156" s="5">
        <v>0.38194444444444442</v>
      </c>
      <c r="F156" s="5">
        <v>0.46875</v>
      </c>
      <c r="G156" s="12">
        <v>8.680555555555558E-2</v>
      </c>
      <c r="H156" s="5" t="s">
        <v>136</v>
      </c>
      <c r="I156" s="4" t="s">
        <v>6</v>
      </c>
      <c r="J156" s="4">
        <v>4</v>
      </c>
      <c r="K156" s="4" t="s">
        <v>5</v>
      </c>
      <c r="L156" s="15" t="s">
        <v>3</v>
      </c>
      <c r="M156" s="4">
        <v>0</v>
      </c>
      <c r="N156" s="4">
        <v>2</v>
      </c>
      <c r="O156" s="4">
        <v>1</v>
      </c>
      <c r="P156" s="4">
        <v>1</v>
      </c>
      <c r="Q156" s="4">
        <v>3</v>
      </c>
      <c r="R156" s="4">
        <v>1</v>
      </c>
      <c r="S156" s="4">
        <v>4</v>
      </c>
      <c r="T156" s="4">
        <v>2</v>
      </c>
      <c r="U156" s="4">
        <v>2</v>
      </c>
      <c r="V156" s="4">
        <v>23</v>
      </c>
      <c r="W156" s="4">
        <v>12</v>
      </c>
      <c r="X156" s="4">
        <v>5</v>
      </c>
      <c r="Y156" s="4">
        <v>4</v>
      </c>
      <c r="Z156" s="4">
        <v>6</v>
      </c>
      <c r="AA156" s="4">
        <v>24</v>
      </c>
      <c r="AB156" s="4">
        <v>20</v>
      </c>
      <c r="AC156" s="17">
        <f>SUMPRODUCT(OG_Data!D$1:S$1, M156:AB156) /SUM(M156:AB156)</f>
        <v>12.109090909090909</v>
      </c>
      <c r="AD156" s="4">
        <f t="shared" si="10"/>
        <v>110</v>
      </c>
      <c r="AE156" s="4">
        <v>0</v>
      </c>
      <c r="AF156" s="4">
        <v>6</v>
      </c>
      <c r="AG156">
        <v>25</v>
      </c>
      <c r="AH156">
        <f>Table3[[#This Row],[Flies_per_Vial]]*Table3[[#This Row],[Vials_Total_UsedInMaze]]</f>
        <v>150</v>
      </c>
      <c r="AI156">
        <f>Table3[[#This Row],[total_Flies]]/Table3[[#This Row],[flies_in]]</f>
        <v>0.73333333333333328</v>
      </c>
      <c r="AJ156"/>
      <c r="AK156" s="29">
        <f t="shared" ref="AK156:AK186" si="12">24*E156</f>
        <v>9.1666666666666661</v>
      </c>
      <c r="AL156" s="29">
        <f t="shared" si="11"/>
        <v>11.25</v>
      </c>
      <c r="AM156" s="29">
        <f>Table3[[#This Row],[end_time_num]]-Table3[[#This Row],[start_time_num]]</f>
        <v>2.0833333333333339</v>
      </c>
    </row>
    <row r="157" spans="1:39" s="4" customFormat="1" x14ac:dyDescent="0.35">
      <c r="A157" s="4">
        <v>9</v>
      </c>
      <c r="B157" s="4">
        <v>2</v>
      </c>
      <c r="C157" t="s">
        <v>154</v>
      </c>
      <c r="D157" s="4" t="s">
        <v>134</v>
      </c>
      <c r="E157" s="5">
        <v>0.38194444444444442</v>
      </c>
      <c r="F157" s="5">
        <v>0.47708333333333336</v>
      </c>
      <c r="G157" s="12">
        <v>9.5138888888888939E-2</v>
      </c>
      <c r="H157" s="5" t="s">
        <v>136</v>
      </c>
      <c r="I157" s="4" t="s">
        <v>6</v>
      </c>
      <c r="J157" s="4">
        <v>4</v>
      </c>
      <c r="K157" s="4" t="s">
        <v>4</v>
      </c>
      <c r="L157" s="15" t="s">
        <v>0</v>
      </c>
      <c r="M157" s="4">
        <v>5</v>
      </c>
      <c r="N157" s="4">
        <v>11</v>
      </c>
      <c r="O157" s="4">
        <v>9</v>
      </c>
      <c r="P157" s="4">
        <v>2</v>
      </c>
      <c r="Q157" s="4">
        <v>6</v>
      </c>
      <c r="R157" s="4">
        <v>13</v>
      </c>
      <c r="S157" s="4">
        <v>7</v>
      </c>
      <c r="T157" s="4">
        <v>9</v>
      </c>
      <c r="U157" s="4">
        <v>8</v>
      </c>
      <c r="V157" s="4">
        <v>9</v>
      </c>
      <c r="W157" s="4">
        <v>8</v>
      </c>
      <c r="X157" s="4">
        <v>10</v>
      </c>
      <c r="Y157" s="4">
        <v>5</v>
      </c>
      <c r="Z157" s="4">
        <v>1</v>
      </c>
      <c r="AA157" s="4">
        <v>2</v>
      </c>
      <c r="AB157" s="4">
        <v>1</v>
      </c>
      <c r="AC157" s="17">
        <f>SUMPRODUCT(OG_Data!D$1:S$1, M157:AB157) /SUM(M157:AB157)</f>
        <v>7.4150943396226419</v>
      </c>
      <c r="AD157" s="4">
        <f t="shared" si="10"/>
        <v>106</v>
      </c>
      <c r="AE157" s="4">
        <v>3</v>
      </c>
      <c r="AF157" s="4">
        <v>6</v>
      </c>
      <c r="AG157">
        <v>25</v>
      </c>
      <c r="AH157">
        <f>Table3[[#This Row],[Flies_per_Vial]]*Table3[[#This Row],[Vials_Total_UsedInMaze]]</f>
        <v>150</v>
      </c>
      <c r="AI157">
        <f>Table3[[#This Row],[total_Flies]]/Table3[[#This Row],[flies_in]]</f>
        <v>0.70666666666666667</v>
      </c>
      <c r="AJ157"/>
      <c r="AK157" s="29">
        <f t="shared" si="12"/>
        <v>9.1666666666666661</v>
      </c>
      <c r="AL157" s="29">
        <f t="shared" si="11"/>
        <v>11.450000000000001</v>
      </c>
      <c r="AM157" s="29">
        <f>Table3[[#This Row],[end_time_num]]-Table3[[#This Row],[start_time_num]]</f>
        <v>2.283333333333335</v>
      </c>
    </row>
    <row r="158" spans="1:39" s="4" customFormat="1" x14ac:dyDescent="0.35">
      <c r="A158" s="4">
        <v>9</v>
      </c>
      <c r="B158" s="4">
        <v>2</v>
      </c>
      <c r="C158" t="s">
        <v>154</v>
      </c>
      <c r="D158" s="4" t="s">
        <v>134</v>
      </c>
      <c r="E158" s="5">
        <v>0.38194444444444442</v>
      </c>
      <c r="F158" s="5">
        <v>0.48333333333333334</v>
      </c>
      <c r="G158" s="12">
        <v>0.10138888888888892</v>
      </c>
      <c r="H158" s="5" t="s">
        <v>136</v>
      </c>
      <c r="I158" s="4" t="s">
        <v>6</v>
      </c>
      <c r="J158" s="4">
        <v>4</v>
      </c>
      <c r="K158" s="4" t="s">
        <v>2</v>
      </c>
      <c r="L158" s="15" t="s">
        <v>0</v>
      </c>
      <c r="M158" s="4">
        <v>7</v>
      </c>
      <c r="N158" s="4">
        <v>10</v>
      </c>
      <c r="O158" s="4">
        <v>26</v>
      </c>
      <c r="P158" s="4">
        <v>3</v>
      </c>
      <c r="Q158" s="4">
        <v>7</v>
      </c>
      <c r="R158" s="4">
        <v>11</v>
      </c>
      <c r="S158" s="4">
        <v>8</v>
      </c>
      <c r="T158" s="4">
        <v>8</v>
      </c>
      <c r="U158" s="4">
        <v>10</v>
      </c>
      <c r="V158" s="4">
        <v>6</v>
      </c>
      <c r="W158" s="4">
        <v>7</v>
      </c>
      <c r="X158" s="4">
        <v>2</v>
      </c>
      <c r="Y158" s="4">
        <v>0</v>
      </c>
      <c r="Z158" s="4">
        <v>0</v>
      </c>
      <c r="AA158" s="4">
        <v>1</v>
      </c>
      <c r="AB158" s="4">
        <v>0</v>
      </c>
      <c r="AC158" s="17">
        <f>SUMPRODUCT(OG_Data!D$1:S$1, M158:AB158) /SUM(M158:AB158)</f>
        <v>5.6981132075471699</v>
      </c>
      <c r="AD158" s="4">
        <f t="shared" si="10"/>
        <v>106</v>
      </c>
      <c r="AE158" s="4">
        <v>5</v>
      </c>
      <c r="AF158" s="4">
        <v>6</v>
      </c>
      <c r="AG158">
        <v>25</v>
      </c>
      <c r="AH158">
        <f>Table3[[#This Row],[Flies_per_Vial]]*Table3[[#This Row],[Vials_Total_UsedInMaze]]</f>
        <v>150</v>
      </c>
      <c r="AI158">
        <f>Table3[[#This Row],[total_Flies]]/Table3[[#This Row],[flies_in]]</f>
        <v>0.70666666666666667</v>
      </c>
      <c r="AJ158"/>
      <c r="AK158" s="29">
        <f t="shared" si="12"/>
        <v>9.1666666666666661</v>
      </c>
      <c r="AL158" s="29">
        <f t="shared" si="11"/>
        <v>11.6</v>
      </c>
      <c r="AM158" s="29">
        <f>Table3[[#This Row],[end_time_num]]-Table3[[#This Row],[start_time_num]]</f>
        <v>2.4333333333333336</v>
      </c>
    </row>
    <row r="159" spans="1:39" s="4" customFormat="1" x14ac:dyDescent="0.35">
      <c r="A159" s="4">
        <v>9</v>
      </c>
      <c r="B159" s="4">
        <v>2</v>
      </c>
      <c r="C159" t="s">
        <v>154</v>
      </c>
      <c r="D159" s="4" t="s">
        <v>134</v>
      </c>
      <c r="E159" s="5">
        <v>0.38194444444444442</v>
      </c>
      <c r="F159" s="5">
        <v>0.48958333333333331</v>
      </c>
      <c r="G159" s="12">
        <v>0.1076388888888889</v>
      </c>
      <c r="H159" s="5" t="s">
        <v>136</v>
      </c>
      <c r="I159" s="4" t="s">
        <v>6</v>
      </c>
      <c r="J159" s="4">
        <v>4</v>
      </c>
      <c r="K159" s="4" t="s">
        <v>1</v>
      </c>
      <c r="L159" s="15" t="s">
        <v>3</v>
      </c>
      <c r="M159" s="4">
        <v>11</v>
      </c>
      <c r="N159" s="4">
        <v>8</v>
      </c>
      <c r="O159" s="4">
        <v>9</v>
      </c>
      <c r="P159" s="4">
        <v>9</v>
      </c>
      <c r="Q159" s="4">
        <v>14</v>
      </c>
      <c r="R159" s="4">
        <v>7</v>
      </c>
      <c r="S159" s="4">
        <v>5</v>
      </c>
      <c r="T159" s="4">
        <v>10</v>
      </c>
      <c r="U159" s="4">
        <v>7</v>
      </c>
      <c r="V159" s="4">
        <v>0</v>
      </c>
      <c r="W159" s="4">
        <v>6</v>
      </c>
      <c r="X159" s="4">
        <v>2</v>
      </c>
      <c r="Y159" s="4">
        <v>1</v>
      </c>
      <c r="Z159" s="4">
        <v>1</v>
      </c>
      <c r="AA159" s="4">
        <v>1</v>
      </c>
      <c r="AB159" s="4">
        <v>0</v>
      </c>
      <c r="AC159" s="17">
        <f>SUMPRODUCT(OG_Data!D$1:S$1, M159:AB159) /SUM(M159:AB159)</f>
        <v>5.6263736263736268</v>
      </c>
      <c r="AD159" s="4">
        <f t="shared" si="10"/>
        <v>91</v>
      </c>
      <c r="AE159" s="4">
        <v>0</v>
      </c>
      <c r="AF159" s="4">
        <v>6</v>
      </c>
      <c r="AG159">
        <v>25</v>
      </c>
      <c r="AH159">
        <f>Table3[[#This Row],[Flies_per_Vial]]*Table3[[#This Row],[Vials_Total_UsedInMaze]]</f>
        <v>150</v>
      </c>
      <c r="AI159">
        <f>Table3[[#This Row],[total_Flies]]/Table3[[#This Row],[flies_in]]</f>
        <v>0.60666666666666669</v>
      </c>
      <c r="AJ159"/>
      <c r="AK159" s="29">
        <f t="shared" si="12"/>
        <v>9.1666666666666661</v>
      </c>
      <c r="AL159" s="29">
        <f t="shared" si="11"/>
        <v>11.75</v>
      </c>
      <c r="AM159" s="29">
        <f>Table3[[#This Row],[end_time_num]]-Table3[[#This Row],[start_time_num]]</f>
        <v>2.5833333333333339</v>
      </c>
    </row>
    <row r="160" spans="1:39" s="4" customFormat="1" x14ac:dyDescent="0.35">
      <c r="A160" s="4">
        <v>9</v>
      </c>
      <c r="B160" s="4">
        <v>2</v>
      </c>
      <c r="C160" t="s">
        <v>155</v>
      </c>
      <c r="D160" s="4" t="s">
        <v>134</v>
      </c>
      <c r="E160" s="5">
        <v>0.52083333333333337</v>
      </c>
      <c r="F160" s="5">
        <v>0.76180555555555551</v>
      </c>
      <c r="G160" s="12">
        <v>0.24097222222222214</v>
      </c>
      <c r="H160" s="5" t="s">
        <v>138</v>
      </c>
      <c r="I160" s="4" t="s">
        <v>6</v>
      </c>
      <c r="J160" s="4">
        <v>3</v>
      </c>
      <c r="K160" s="4" t="s">
        <v>5</v>
      </c>
      <c r="L160" s="15" t="s">
        <v>3</v>
      </c>
      <c r="M160" s="4">
        <v>1</v>
      </c>
      <c r="N160" s="4">
        <v>0</v>
      </c>
      <c r="O160" s="4">
        <v>0</v>
      </c>
      <c r="P160" s="4">
        <v>0</v>
      </c>
      <c r="Q160" s="4">
        <v>2</v>
      </c>
      <c r="R160" s="4">
        <v>2</v>
      </c>
      <c r="S160" s="4">
        <v>5</v>
      </c>
      <c r="T160" s="4">
        <v>0</v>
      </c>
      <c r="U160" s="4">
        <v>2</v>
      </c>
      <c r="V160" s="4">
        <v>4</v>
      </c>
      <c r="W160" s="4">
        <v>4</v>
      </c>
      <c r="X160" s="4">
        <v>2</v>
      </c>
      <c r="Y160" s="4">
        <v>5</v>
      </c>
      <c r="Z160" s="4">
        <v>2</v>
      </c>
      <c r="AA160" s="4">
        <v>14</v>
      </c>
      <c r="AB160" s="4">
        <v>9</v>
      </c>
      <c r="AC160" s="17">
        <f>SUMPRODUCT(OG_Data!D$1:S$1, M160:AB160) /SUM(M160:AB160)</f>
        <v>12.134615384615385</v>
      </c>
      <c r="AD160" s="4">
        <f t="shared" si="10"/>
        <v>52</v>
      </c>
      <c r="AE160" s="4">
        <v>0</v>
      </c>
      <c r="AF160" s="4">
        <v>6</v>
      </c>
      <c r="AG160">
        <v>25</v>
      </c>
      <c r="AH160">
        <f>Table3[[#This Row],[Flies_per_Vial]]*Table3[[#This Row],[Vials_Total_UsedInMaze]]</f>
        <v>150</v>
      </c>
      <c r="AI160">
        <f>Table3[[#This Row],[total_Flies]]/Table3[[#This Row],[flies_in]]</f>
        <v>0.34666666666666668</v>
      </c>
      <c r="AJ160"/>
      <c r="AK160" s="29">
        <f t="shared" si="12"/>
        <v>12.5</v>
      </c>
      <c r="AL160" s="29">
        <f t="shared" si="11"/>
        <v>18.283333333333331</v>
      </c>
      <c r="AM160" s="29">
        <f>Table3[[#This Row],[end_time_num]]-Table3[[#This Row],[start_time_num]]</f>
        <v>5.7833333333333314</v>
      </c>
    </row>
    <row r="161" spans="1:39" s="4" customFormat="1" x14ac:dyDescent="0.35">
      <c r="A161" s="4">
        <v>9</v>
      </c>
      <c r="B161" s="4">
        <v>2</v>
      </c>
      <c r="C161" t="s">
        <v>155</v>
      </c>
      <c r="D161" s="4" t="s">
        <v>134</v>
      </c>
      <c r="E161" s="5">
        <v>0.52083333333333337</v>
      </c>
      <c r="F161" s="5">
        <v>0.74861111111111112</v>
      </c>
      <c r="G161" s="12">
        <v>0.22777777777777775</v>
      </c>
      <c r="H161" s="5" t="s">
        <v>138</v>
      </c>
      <c r="I161" s="4" t="s">
        <v>6</v>
      </c>
      <c r="J161" s="4">
        <v>3</v>
      </c>
      <c r="K161" s="4" t="s">
        <v>4</v>
      </c>
      <c r="L161" s="15" t="s">
        <v>0</v>
      </c>
      <c r="M161" s="4">
        <v>10</v>
      </c>
      <c r="N161" s="4">
        <v>11</v>
      </c>
      <c r="O161" s="4">
        <v>10</v>
      </c>
      <c r="P161" s="4">
        <v>3</v>
      </c>
      <c r="Q161" s="4">
        <v>8</v>
      </c>
      <c r="R161" s="4">
        <v>7</v>
      </c>
      <c r="S161" s="4">
        <v>9</v>
      </c>
      <c r="T161" s="4">
        <v>6</v>
      </c>
      <c r="U161" s="4">
        <v>7</v>
      </c>
      <c r="V161" s="4">
        <v>4</v>
      </c>
      <c r="W161" s="4">
        <v>3</v>
      </c>
      <c r="X161" s="4">
        <v>4</v>
      </c>
      <c r="Y161" s="4">
        <v>0</v>
      </c>
      <c r="Z161" s="4">
        <v>1</v>
      </c>
      <c r="AA161" s="4">
        <v>0</v>
      </c>
      <c r="AB161" s="4">
        <v>0</v>
      </c>
      <c r="AC161" s="17">
        <f>SUMPRODUCT(OG_Data!D$1:S$1, M161:AB161) /SUM(M161:AB161)</f>
        <v>5.6024096385542173</v>
      </c>
      <c r="AD161" s="4">
        <f t="shared" si="10"/>
        <v>83</v>
      </c>
      <c r="AE161" s="4">
        <v>1</v>
      </c>
      <c r="AF161" s="4">
        <v>6</v>
      </c>
      <c r="AG161">
        <v>25</v>
      </c>
      <c r="AH161">
        <f>Table3[[#This Row],[Flies_per_Vial]]*Table3[[#This Row],[Vials_Total_UsedInMaze]]</f>
        <v>150</v>
      </c>
      <c r="AI161">
        <f>Table3[[#This Row],[total_Flies]]/Table3[[#This Row],[flies_in]]</f>
        <v>0.55333333333333334</v>
      </c>
      <c r="AJ161"/>
      <c r="AK161" s="29">
        <f t="shared" si="12"/>
        <v>12.5</v>
      </c>
      <c r="AL161" s="29">
        <f t="shared" si="11"/>
        <v>17.966666666666669</v>
      </c>
      <c r="AM161" s="29">
        <f>Table3[[#This Row],[end_time_num]]-Table3[[#This Row],[start_time_num]]</f>
        <v>5.4666666666666686</v>
      </c>
    </row>
    <row r="162" spans="1:39" s="4" customFormat="1" x14ac:dyDescent="0.35">
      <c r="A162" s="4">
        <v>9</v>
      </c>
      <c r="B162" s="4">
        <v>2</v>
      </c>
      <c r="C162" t="s">
        <v>155</v>
      </c>
      <c r="D162" s="4" t="s">
        <v>134</v>
      </c>
      <c r="E162" s="5">
        <v>0.52083333333333304</v>
      </c>
      <c r="F162" s="5">
        <v>0.75555555555555554</v>
      </c>
      <c r="G162" s="12">
        <v>0.2347222222222225</v>
      </c>
      <c r="H162" s="5" t="s">
        <v>138</v>
      </c>
      <c r="I162" s="4" t="s">
        <v>6</v>
      </c>
      <c r="J162" s="4">
        <v>3</v>
      </c>
      <c r="K162" s="4" t="s">
        <v>2</v>
      </c>
      <c r="L162" s="15" t="s">
        <v>0</v>
      </c>
      <c r="M162" s="4">
        <v>10</v>
      </c>
      <c r="N162" s="4">
        <v>16</v>
      </c>
      <c r="O162" s="4">
        <v>28</v>
      </c>
      <c r="P162" s="4">
        <v>4</v>
      </c>
      <c r="Q162" s="4">
        <v>10</v>
      </c>
      <c r="R162" s="4">
        <v>23</v>
      </c>
      <c r="S162" s="4">
        <v>12</v>
      </c>
      <c r="T162" s="4">
        <v>10</v>
      </c>
      <c r="U162" s="4">
        <v>12</v>
      </c>
      <c r="V162" s="4">
        <v>3</v>
      </c>
      <c r="W162" s="4">
        <v>1</v>
      </c>
      <c r="X162" s="4">
        <v>1</v>
      </c>
      <c r="Y162" s="4">
        <v>1</v>
      </c>
      <c r="Z162" s="4">
        <v>0</v>
      </c>
      <c r="AA162" s="4">
        <v>0</v>
      </c>
      <c r="AB162" s="4">
        <v>1</v>
      </c>
      <c r="AC162" s="17">
        <f>SUMPRODUCT(OG_Data!D$1:S$1, M162:AB162) /SUM(M162:AB162)</f>
        <v>5.1818181818181817</v>
      </c>
      <c r="AD162" s="4">
        <f t="shared" si="10"/>
        <v>132</v>
      </c>
      <c r="AE162" s="4">
        <v>0</v>
      </c>
      <c r="AF162" s="4">
        <v>6</v>
      </c>
      <c r="AG162">
        <v>25</v>
      </c>
      <c r="AH162">
        <f>Table3[[#This Row],[Flies_per_Vial]]*Table3[[#This Row],[Vials_Total_UsedInMaze]]</f>
        <v>150</v>
      </c>
      <c r="AI162">
        <f>Table3[[#This Row],[total_Flies]]/Table3[[#This Row],[flies_in]]</f>
        <v>0.88</v>
      </c>
      <c r="AJ162"/>
      <c r="AK162" s="29">
        <f t="shared" si="12"/>
        <v>12.499999999999993</v>
      </c>
      <c r="AL162" s="29">
        <f t="shared" si="11"/>
        <v>18.133333333333333</v>
      </c>
      <c r="AM162" s="29">
        <f>Table3[[#This Row],[end_time_num]]-Table3[[#This Row],[start_time_num]]</f>
        <v>5.63333333333334</v>
      </c>
    </row>
    <row r="163" spans="1:39" s="4" customFormat="1" x14ac:dyDescent="0.35">
      <c r="A163" s="4">
        <v>9</v>
      </c>
      <c r="B163" s="4">
        <v>2</v>
      </c>
      <c r="C163" t="s">
        <v>155</v>
      </c>
      <c r="D163" s="4" t="s">
        <v>134</v>
      </c>
      <c r="E163" s="5">
        <v>0.52083333333333304</v>
      </c>
      <c r="F163" s="5">
        <v>0.74305555555555558</v>
      </c>
      <c r="G163" s="12">
        <v>0.22222222222222254</v>
      </c>
      <c r="H163" s="5" t="s">
        <v>138</v>
      </c>
      <c r="I163" s="4" t="s">
        <v>6</v>
      </c>
      <c r="J163" s="4">
        <v>3</v>
      </c>
      <c r="K163" s="4" t="s">
        <v>1</v>
      </c>
      <c r="L163" s="15" t="s">
        <v>3</v>
      </c>
      <c r="M163" s="4">
        <v>2</v>
      </c>
      <c r="N163" s="4">
        <v>4</v>
      </c>
      <c r="O163" s="4">
        <v>6</v>
      </c>
      <c r="P163" s="4">
        <v>5</v>
      </c>
      <c r="Q163" s="4">
        <v>9</v>
      </c>
      <c r="R163" s="4">
        <v>9</v>
      </c>
      <c r="S163" s="4">
        <v>5</v>
      </c>
      <c r="T163" s="4">
        <v>15</v>
      </c>
      <c r="U163" s="4">
        <v>5</v>
      </c>
      <c r="V163" s="4">
        <v>0</v>
      </c>
      <c r="W163" s="4">
        <v>6</v>
      </c>
      <c r="X163" s="4">
        <v>4</v>
      </c>
      <c r="Y163" s="4">
        <v>2</v>
      </c>
      <c r="Z163" s="4">
        <v>1</v>
      </c>
      <c r="AA163" s="4">
        <v>0</v>
      </c>
      <c r="AB163" s="4">
        <v>0</v>
      </c>
      <c r="AC163" s="17">
        <f>SUMPRODUCT(OG_Data!D$1:S$1, M163:AB163) /SUM(M163:AB163)</f>
        <v>6.8630136986301373</v>
      </c>
      <c r="AD163" s="4">
        <f t="shared" si="10"/>
        <v>73</v>
      </c>
      <c r="AE163" s="4">
        <v>0</v>
      </c>
      <c r="AF163" s="4">
        <v>6</v>
      </c>
      <c r="AG163">
        <v>25</v>
      </c>
      <c r="AH163">
        <f>Table3[[#This Row],[Flies_per_Vial]]*Table3[[#This Row],[Vials_Total_UsedInMaze]]</f>
        <v>150</v>
      </c>
      <c r="AI163">
        <f>Table3[[#This Row],[total_Flies]]/Table3[[#This Row],[flies_in]]</f>
        <v>0.48666666666666669</v>
      </c>
      <c r="AJ163"/>
      <c r="AK163" s="29">
        <f t="shared" si="12"/>
        <v>12.499999999999993</v>
      </c>
      <c r="AL163" s="29">
        <f t="shared" si="11"/>
        <v>17.833333333333336</v>
      </c>
      <c r="AM163" s="29">
        <f>Table3[[#This Row],[end_time_num]]-Table3[[#This Row],[start_time_num]]</f>
        <v>5.3333333333333428</v>
      </c>
    </row>
    <row r="164" spans="1:39" x14ac:dyDescent="0.35">
      <c r="A164">
        <v>10</v>
      </c>
      <c r="B164">
        <v>1</v>
      </c>
      <c r="C164" t="s">
        <v>154</v>
      </c>
      <c r="D164" t="s">
        <v>135</v>
      </c>
      <c r="E164" s="2">
        <v>0.39583333333333331</v>
      </c>
      <c r="F164" s="2">
        <v>0.50347222222222221</v>
      </c>
      <c r="G164" s="13">
        <v>0.1076388888888889</v>
      </c>
      <c r="H164" s="2" t="s">
        <v>136</v>
      </c>
      <c r="I164" s="24" t="s">
        <v>6</v>
      </c>
      <c r="J164" s="24">
        <v>1</v>
      </c>
      <c r="K164" s="24" t="s">
        <v>5</v>
      </c>
      <c r="L164" s="14" t="s">
        <v>0</v>
      </c>
      <c r="M164">
        <v>1</v>
      </c>
      <c r="N164">
        <v>1</v>
      </c>
      <c r="O164">
        <v>2</v>
      </c>
      <c r="P164">
        <v>1</v>
      </c>
      <c r="Q164">
        <v>7</v>
      </c>
      <c r="R164">
        <v>6</v>
      </c>
      <c r="S164">
        <v>4</v>
      </c>
      <c r="T164">
        <v>6</v>
      </c>
      <c r="U164">
        <v>8</v>
      </c>
      <c r="V164">
        <v>19</v>
      </c>
      <c r="W164">
        <v>4</v>
      </c>
      <c r="X164">
        <v>2</v>
      </c>
      <c r="Y164">
        <v>10</v>
      </c>
      <c r="Z164">
        <v>7</v>
      </c>
      <c r="AA164">
        <v>14</v>
      </c>
      <c r="AB164">
        <v>4</v>
      </c>
      <c r="AC164" s="18">
        <f>SUMPRODUCT(OG_Data!D$1:S$1, M164:AB164) /SUM(M164:AB164)</f>
        <v>10.333333333333334</v>
      </c>
      <c r="AD164">
        <f t="shared" si="10"/>
        <v>96</v>
      </c>
      <c r="AE164">
        <v>0</v>
      </c>
      <c r="AF164">
        <v>6</v>
      </c>
      <c r="AG164">
        <v>25</v>
      </c>
      <c r="AH164">
        <f>Table3[[#This Row],[Flies_per_Vial]]*Table3[[#This Row],[Vials_Total_UsedInMaze]]</f>
        <v>150</v>
      </c>
      <c r="AI164">
        <f>Table3[[#This Row],[total_Flies]]/Table3[[#This Row],[flies_in]]</f>
        <v>0.64</v>
      </c>
      <c r="AJ164"/>
      <c r="AK164" s="31">
        <f t="shared" si="12"/>
        <v>9.5</v>
      </c>
      <c r="AL164" s="31">
        <f t="shared" si="11"/>
        <v>12.083333333333332</v>
      </c>
      <c r="AM164" s="31">
        <f>Table3[[#This Row],[end_time_num]]-Table3[[#This Row],[start_time_num]]</f>
        <v>2.5833333333333321</v>
      </c>
    </row>
    <row r="165" spans="1:39" x14ac:dyDescent="0.35">
      <c r="A165">
        <v>10</v>
      </c>
      <c r="B165">
        <v>1</v>
      </c>
      <c r="C165" t="s">
        <v>154</v>
      </c>
      <c r="D165" t="s">
        <v>135</v>
      </c>
      <c r="E165" s="2">
        <v>0.39583333333333331</v>
      </c>
      <c r="F165" s="2">
        <v>0.51041666666666663</v>
      </c>
      <c r="G165" s="13">
        <v>0.11458333333333331</v>
      </c>
      <c r="H165" s="2" t="s">
        <v>136</v>
      </c>
      <c r="I165" s="24" t="s">
        <v>6</v>
      </c>
      <c r="J165" s="24">
        <v>1</v>
      </c>
      <c r="K165" s="24" t="s">
        <v>4</v>
      </c>
      <c r="L165" s="14" t="s">
        <v>3</v>
      </c>
      <c r="M165">
        <v>3</v>
      </c>
      <c r="N165">
        <v>8</v>
      </c>
      <c r="O165">
        <v>5</v>
      </c>
      <c r="P165">
        <v>2</v>
      </c>
      <c r="Q165">
        <v>1</v>
      </c>
      <c r="R165">
        <v>6</v>
      </c>
      <c r="S165">
        <v>21</v>
      </c>
      <c r="T165">
        <v>10</v>
      </c>
      <c r="U165">
        <v>15</v>
      </c>
      <c r="V165">
        <v>4</v>
      </c>
      <c r="W165">
        <v>11</v>
      </c>
      <c r="X165">
        <v>5</v>
      </c>
      <c r="Y165">
        <v>4</v>
      </c>
      <c r="Z165">
        <v>1</v>
      </c>
      <c r="AA165">
        <v>0</v>
      </c>
      <c r="AB165">
        <v>0</v>
      </c>
      <c r="AC165" s="18">
        <f>SUMPRODUCT(OG_Data!D$1:S$1, M165:AB165) /SUM(M165:AB165)</f>
        <v>7.625</v>
      </c>
      <c r="AD165">
        <f t="shared" si="10"/>
        <v>96</v>
      </c>
      <c r="AE165">
        <v>0</v>
      </c>
      <c r="AF165">
        <v>6</v>
      </c>
      <c r="AG165">
        <v>25</v>
      </c>
      <c r="AH165">
        <f>Table3[[#This Row],[Flies_per_Vial]]*Table3[[#This Row],[Vials_Total_UsedInMaze]]</f>
        <v>150</v>
      </c>
      <c r="AI165">
        <f>Table3[[#This Row],[total_Flies]]/Table3[[#This Row],[flies_in]]</f>
        <v>0.64</v>
      </c>
      <c r="AJ165"/>
      <c r="AK165" s="31">
        <f t="shared" si="12"/>
        <v>9.5</v>
      </c>
      <c r="AL165" s="31">
        <f t="shared" si="11"/>
        <v>12.25</v>
      </c>
      <c r="AM165" s="31">
        <f>Table3[[#This Row],[end_time_num]]-Table3[[#This Row],[start_time_num]]</f>
        <v>2.75</v>
      </c>
    </row>
    <row r="166" spans="1:39" x14ac:dyDescent="0.35">
      <c r="A166">
        <v>10</v>
      </c>
      <c r="B166">
        <v>1</v>
      </c>
      <c r="C166" t="s">
        <v>154</v>
      </c>
      <c r="D166" t="s">
        <v>135</v>
      </c>
      <c r="E166" s="2">
        <v>0.39583333333333331</v>
      </c>
      <c r="F166" s="2">
        <v>0.51875000000000004</v>
      </c>
      <c r="G166" s="13">
        <v>0.12291666666666673</v>
      </c>
      <c r="H166" s="2" t="s">
        <v>136</v>
      </c>
      <c r="I166" s="24" t="s">
        <v>6</v>
      </c>
      <c r="J166" s="24">
        <v>1</v>
      </c>
      <c r="K166" s="24" t="s">
        <v>2</v>
      </c>
      <c r="L166" s="14" t="s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4</v>
      </c>
      <c r="U166">
        <v>18</v>
      </c>
      <c r="V166">
        <v>0</v>
      </c>
      <c r="W166">
        <v>6</v>
      </c>
      <c r="X166">
        <v>3</v>
      </c>
      <c r="Y166">
        <v>2</v>
      </c>
      <c r="Z166">
        <v>2</v>
      </c>
      <c r="AA166">
        <v>0</v>
      </c>
      <c r="AB166">
        <v>0</v>
      </c>
      <c r="AC166" s="18">
        <f>SUMPRODUCT(OG_Data!D$1:S$1, M166:AB166) /SUM(M166:AB166)</f>
        <v>9.7837837837837842</v>
      </c>
      <c r="AD166">
        <f t="shared" si="10"/>
        <v>37</v>
      </c>
      <c r="AE166">
        <v>0</v>
      </c>
      <c r="AF166">
        <v>5</v>
      </c>
      <c r="AG166">
        <v>25</v>
      </c>
      <c r="AH166">
        <f>Table3[[#This Row],[Flies_per_Vial]]*Table3[[#This Row],[Vials_Total_UsedInMaze]]</f>
        <v>125</v>
      </c>
      <c r="AI166">
        <f>Table3[[#This Row],[total_Flies]]/Table3[[#This Row],[flies_in]]</f>
        <v>0.29599999999999999</v>
      </c>
      <c r="AJ166"/>
      <c r="AK166" s="31">
        <f t="shared" si="12"/>
        <v>9.5</v>
      </c>
      <c r="AL166" s="31">
        <f t="shared" si="11"/>
        <v>12.450000000000001</v>
      </c>
      <c r="AM166" s="31">
        <f>Table3[[#This Row],[end_time_num]]-Table3[[#This Row],[start_time_num]]</f>
        <v>2.9500000000000011</v>
      </c>
    </row>
    <row r="167" spans="1:39" x14ac:dyDescent="0.35">
      <c r="A167">
        <v>10</v>
      </c>
      <c r="B167">
        <v>1</v>
      </c>
      <c r="C167" t="s">
        <v>154</v>
      </c>
      <c r="D167" t="s">
        <v>135</v>
      </c>
      <c r="E167" s="2">
        <v>0.39583333333333331</v>
      </c>
      <c r="F167" s="2">
        <v>0.52430555555555558</v>
      </c>
      <c r="G167" s="13">
        <v>0.12847222222222227</v>
      </c>
      <c r="H167" s="2" t="s">
        <v>136</v>
      </c>
      <c r="I167" s="24" t="s">
        <v>6</v>
      </c>
      <c r="J167" s="24">
        <v>1</v>
      </c>
      <c r="K167" s="24" t="s">
        <v>1</v>
      </c>
      <c r="L167" s="14" t="s">
        <v>0</v>
      </c>
      <c r="M167">
        <v>9</v>
      </c>
      <c r="N167">
        <v>9</v>
      </c>
      <c r="O167">
        <v>8</v>
      </c>
      <c r="P167">
        <v>8</v>
      </c>
      <c r="Q167">
        <v>7</v>
      </c>
      <c r="R167">
        <v>9</v>
      </c>
      <c r="S167">
        <v>11</v>
      </c>
      <c r="T167">
        <v>18</v>
      </c>
      <c r="U167">
        <v>8</v>
      </c>
      <c r="V167">
        <v>0</v>
      </c>
      <c r="W167">
        <v>8</v>
      </c>
      <c r="X167">
        <v>2</v>
      </c>
      <c r="Y167">
        <v>2</v>
      </c>
      <c r="Z167">
        <v>0</v>
      </c>
      <c r="AA167">
        <v>0</v>
      </c>
      <c r="AB167">
        <v>0</v>
      </c>
      <c r="AC167" s="18">
        <f>SUMPRODUCT(OG_Data!D$1:S$1, M167:AB167) /SUM(M167:AB167)</f>
        <v>6.0909090909090908</v>
      </c>
      <c r="AD167">
        <f t="shared" si="10"/>
        <v>99</v>
      </c>
      <c r="AE167">
        <v>0</v>
      </c>
      <c r="AF167">
        <v>6</v>
      </c>
      <c r="AG167">
        <v>25</v>
      </c>
      <c r="AH167">
        <f>Table3[[#This Row],[Flies_per_Vial]]*Table3[[#This Row],[Vials_Total_UsedInMaze]]</f>
        <v>150</v>
      </c>
      <c r="AI167">
        <f>Table3[[#This Row],[total_Flies]]/Table3[[#This Row],[flies_in]]</f>
        <v>0.66</v>
      </c>
      <c r="AJ167"/>
      <c r="AK167" s="31">
        <f t="shared" si="12"/>
        <v>9.5</v>
      </c>
      <c r="AL167" s="31">
        <f t="shared" si="11"/>
        <v>12.583333333333334</v>
      </c>
      <c r="AM167" s="31">
        <f>Table3[[#This Row],[end_time_num]]-Table3[[#This Row],[start_time_num]]</f>
        <v>3.0833333333333339</v>
      </c>
    </row>
    <row r="168" spans="1:39" x14ac:dyDescent="0.35">
      <c r="A168">
        <v>10</v>
      </c>
      <c r="B168">
        <v>1</v>
      </c>
      <c r="C168" t="s">
        <v>155</v>
      </c>
      <c r="D168" t="s">
        <v>135</v>
      </c>
      <c r="E168" s="2">
        <v>0.59375</v>
      </c>
      <c r="F168" s="2">
        <v>0.78541666666666665</v>
      </c>
      <c r="G168" s="13">
        <v>0.19166666666666665</v>
      </c>
      <c r="H168" s="2" t="s">
        <v>142</v>
      </c>
      <c r="I168" s="24" t="s">
        <v>6</v>
      </c>
      <c r="J168" s="24">
        <v>2</v>
      </c>
      <c r="K168" s="24" t="s">
        <v>5</v>
      </c>
      <c r="L168" s="14" t="s">
        <v>0</v>
      </c>
      <c r="M168">
        <v>0</v>
      </c>
      <c r="N168">
        <v>0</v>
      </c>
      <c r="O168">
        <v>1</v>
      </c>
      <c r="P168">
        <v>0</v>
      </c>
      <c r="Q168">
        <v>5</v>
      </c>
      <c r="R168">
        <v>3</v>
      </c>
      <c r="S168">
        <v>1</v>
      </c>
      <c r="T168">
        <v>6</v>
      </c>
      <c r="U168">
        <v>6</v>
      </c>
      <c r="V168">
        <v>10</v>
      </c>
      <c r="W168">
        <v>4</v>
      </c>
      <c r="X168">
        <v>2</v>
      </c>
      <c r="Y168">
        <v>3</v>
      </c>
      <c r="Z168">
        <v>4</v>
      </c>
      <c r="AA168">
        <v>30</v>
      </c>
      <c r="AB168">
        <v>8</v>
      </c>
      <c r="AC168" s="18">
        <f>SUMPRODUCT(OG_Data!D$1:S$1, M168:AB168) /SUM(M168:AB168)</f>
        <v>12</v>
      </c>
      <c r="AD168">
        <f t="shared" si="10"/>
        <v>83</v>
      </c>
      <c r="AE168">
        <v>0</v>
      </c>
      <c r="AF168">
        <v>5</v>
      </c>
      <c r="AG168">
        <v>25</v>
      </c>
      <c r="AH168">
        <f>Table3[[#This Row],[Flies_per_Vial]]*Table3[[#This Row],[Vials_Total_UsedInMaze]]</f>
        <v>125</v>
      </c>
      <c r="AI168">
        <f>Table3[[#This Row],[total_Flies]]/Table3[[#This Row],[flies_in]]</f>
        <v>0.66400000000000003</v>
      </c>
      <c r="AJ168"/>
      <c r="AK168" s="31">
        <f t="shared" si="12"/>
        <v>14.25</v>
      </c>
      <c r="AL168" s="31">
        <f t="shared" si="11"/>
        <v>18.850000000000001</v>
      </c>
      <c r="AM168" s="31">
        <f>Table3[[#This Row],[end_time_num]]-Table3[[#This Row],[start_time_num]]</f>
        <v>4.6000000000000014</v>
      </c>
    </row>
    <row r="169" spans="1:39" x14ac:dyDescent="0.35">
      <c r="A169">
        <v>10</v>
      </c>
      <c r="B169">
        <v>1</v>
      </c>
      <c r="C169" t="s">
        <v>155</v>
      </c>
      <c r="D169" t="s">
        <v>135</v>
      </c>
      <c r="E169" s="2">
        <v>0.59375</v>
      </c>
      <c r="F169" s="2">
        <v>0.79166666666666663</v>
      </c>
      <c r="G169" s="13">
        <v>0.19791666666666663</v>
      </c>
      <c r="H169" s="2" t="s">
        <v>142</v>
      </c>
      <c r="I169" s="24" t="s">
        <v>6</v>
      </c>
      <c r="J169" s="24">
        <v>2</v>
      </c>
      <c r="K169" s="24" t="s">
        <v>4</v>
      </c>
      <c r="L169" s="14" t="s">
        <v>3</v>
      </c>
      <c r="M169">
        <v>6</v>
      </c>
      <c r="N169">
        <v>10</v>
      </c>
      <c r="O169">
        <v>8</v>
      </c>
      <c r="P169">
        <v>3</v>
      </c>
      <c r="Q169">
        <v>2</v>
      </c>
      <c r="R169">
        <v>5</v>
      </c>
      <c r="S169">
        <v>16</v>
      </c>
      <c r="T169">
        <v>10</v>
      </c>
      <c r="U169">
        <v>5</v>
      </c>
      <c r="V169">
        <v>8</v>
      </c>
      <c r="W169">
        <v>5</v>
      </c>
      <c r="X169">
        <v>3</v>
      </c>
      <c r="Y169">
        <v>3</v>
      </c>
      <c r="Z169">
        <v>5</v>
      </c>
      <c r="AA169">
        <v>0</v>
      </c>
      <c r="AB169">
        <v>1</v>
      </c>
      <c r="AC169" s="18">
        <f>SUMPRODUCT(OG_Data!D$1:S$1, M169:AB169) /SUM(M169:AB169)</f>
        <v>7.0555555555555554</v>
      </c>
      <c r="AD169">
        <f t="shared" si="10"/>
        <v>90</v>
      </c>
      <c r="AE169">
        <v>0</v>
      </c>
      <c r="AF169">
        <v>5</v>
      </c>
      <c r="AG169">
        <v>25</v>
      </c>
      <c r="AH169">
        <f>Table3[[#This Row],[Flies_per_Vial]]*Table3[[#This Row],[Vials_Total_UsedInMaze]]</f>
        <v>125</v>
      </c>
      <c r="AI169">
        <f>Table3[[#This Row],[total_Flies]]/Table3[[#This Row],[flies_in]]</f>
        <v>0.72</v>
      </c>
      <c r="AJ169"/>
      <c r="AK169" s="31">
        <f t="shared" si="12"/>
        <v>14.25</v>
      </c>
      <c r="AL169" s="31">
        <f t="shared" si="11"/>
        <v>19</v>
      </c>
      <c r="AM169" s="31">
        <f>Table3[[#This Row],[end_time_num]]-Table3[[#This Row],[start_time_num]]</f>
        <v>4.75</v>
      </c>
    </row>
    <row r="170" spans="1:39" x14ac:dyDescent="0.35">
      <c r="A170">
        <v>10</v>
      </c>
      <c r="B170">
        <v>1</v>
      </c>
      <c r="C170" t="s">
        <v>155</v>
      </c>
      <c r="D170" t="s">
        <v>135</v>
      </c>
      <c r="E170" s="2">
        <v>0.59375</v>
      </c>
      <c r="F170" s="2">
        <v>0.79722222222222228</v>
      </c>
      <c r="G170" s="13">
        <v>0.20347222222222228</v>
      </c>
      <c r="H170" s="2" t="s">
        <v>142</v>
      </c>
      <c r="I170" s="24" t="s">
        <v>6</v>
      </c>
      <c r="J170" s="24">
        <v>2</v>
      </c>
      <c r="K170" s="24" t="s">
        <v>2</v>
      </c>
      <c r="L170" s="14" t="s">
        <v>3</v>
      </c>
      <c r="M170">
        <v>7</v>
      </c>
      <c r="N170">
        <v>19</v>
      </c>
      <c r="O170">
        <v>11</v>
      </c>
      <c r="P170">
        <v>3</v>
      </c>
      <c r="Q170">
        <v>4</v>
      </c>
      <c r="R170">
        <v>4</v>
      </c>
      <c r="S170">
        <v>0</v>
      </c>
      <c r="T170">
        <v>3</v>
      </c>
      <c r="U170">
        <v>14</v>
      </c>
      <c r="V170">
        <v>1</v>
      </c>
      <c r="W170">
        <v>4</v>
      </c>
      <c r="X170">
        <v>0</v>
      </c>
      <c r="Y170">
        <v>3</v>
      </c>
      <c r="Z170">
        <v>0</v>
      </c>
      <c r="AA170">
        <v>0</v>
      </c>
      <c r="AB170">
        <v>5</v>
      </c>
      <c r="AC170" s="18">
        <f>SUMPRODUCT(OG_Data!D$1:S$1, M170:AB170) /SUM(M170:AB170)</f>
        <v>5.8589743589743586</v>
      </c>
      <c r="AD170">
        <f t="shared" si="10"/>
        <v>78</v>
      </c>
      <c r="AE170">
        <v>0</v>
      </c>
      <c r="AF170">
        <v>5</v>
      </c>
      <c r="AG170">
        <v>25</v>
      </c>
      <c r="AH170">
        <f>Table3[[#This Row],[Flies_per_Vial]]*Table3[[#This Row],[Vials_Total_UsedInMaze]]</f>
        <v>125</v>
      </c>
      <c r="AI170">
        <f>Table3[[#This Row],[total_Flies]]/Table3[[#This Row],[flies_in]]</f>
        <v>0.624</v>
      </c>
      <c r="AJ170"/>
      <c r="AK170" s="31">
        <f t="shared" si="12"/>
        <v>14.25</v>
      </c>
      <c r="AL170" s="31">
        <f t="shared" si="11"/>
        <v>19.133333333333333</v>
      </c>
      <c r="AM170" s="31">
        <f>Table3[[#This Row],[end_time_num]]-Table3[[#This Row],[start_time_num]]</f>
        <v>4.8833333333333329</v>
      </c>
    </row>
    <row r="171" spans="1:39" x14ac:dyDescent="0.35">
      <c r="A171">
        <v>10</v>
      </c>
      <c r="B171">
        <v>1</v>
      </c>
      <c r="C171" t="s">
        <v>155</v>
      </c>
      <c r="D171" t="s">
        <v>135</v>
      </c>
      <c r="E171" s="2">
        <v>0.59375</v>
      </c>
      <c r="F171" s="2">
        <v>0.80347222222222225</v>
      </c>
      <c r="G171" s="13">
        <v>0.20972222222222225</v>
      </c>
      <c r="H171" s="2" t="s">
        <v>142</v>
      </c>
      <c r="I171" s="24" t="s">
        <v>6</v>
      </c>
      <c r="J171" s="24">
        <v>2</v>
      </c>
      <c r="K171" s="24" t="s">
        <v>1</v>
      </c>
      <c r="L171" s="14" t="s">
        <v>0</v>
      </c>
      <c r="M171">
        <v>3</v>
      </c>
      <c r="N171">
        <v>0</v>
      </c>
      <c r="O171">
        <v>5</v>
      </c>
      <c r="P171">
        <v>7</v>
      </c>
      <c r="Q171">
        <v>10</v>
      </c>
      <c r="R171">
        <v>12</v>
      </c>
      <c r="S171">
        <v>6</v>
      </c>
      <c r="T171">
        <v>18</v>
      </c>
      <c r="U171">
        <v>12</v>
      </c>
      <c r="V171">
        <v>0</v>
      </c>
      <c r="W171">
        <v>5</v>
      </c>
      <c r="X171">
        <v>3</v>
      </c>
      <c r="Y171">
        <v>2</v>
      </c>
      <c r="Z171">
        <v>4</v>
      </c>
      <c r="AA171">
        <v>0</v>
      </c>
      <c r="AB171">
        <v>0</v>
      </c>
      <c r="AC171" s="18">
        <f>SUMPRODUCT(OG_Data!D$1:S$1, M171:AB171) /SUM(M171:AB171)</f>
        <v>7.2988505747126435</v>
      </c>
      <c r="AD171">
        <f t="shared" si="10"/>
        <v>87</v>
      </c>
      <c r="AE171">
        <v>0</v>
      </c>
      <c r="AF171">
        <v>5</v>
      </c>
      <c r="AG171">
        <v>25</v>
      </c>
      <c r="AH171">
        <f>Table3[[#This Row],[Flies_per_Vial]]*Table3[[#This Row],[Vials_Total_UsedInMaze]]</f>
        <v>125</v>
      </c>
      <c r="AI171">
        <f>Table3[[#This Row],[total_Flies]]/Table3[[#This Row],[flies_in]]</f>
        <v>0.69599999999999995</v>
      </c>
      <c r="AJ171"/>
      <c r="AK171" s="31">
        <f t="shared" si="12"/>
        <v>14.25</v>
      </c>
      <c r="AL171" s="31">
        <f t="shared" si="11"/>
        <v>19.283333333333335</v>
      </c>
      <c r="AM171" s="31">
        <f>Table3[[#This Row],[end_time_num]]-Table3[[#This Row],[start_time_num]]</f>
        <v>5.033333333333335</v>
      </c>
    </row>
    <row r="172" spans="1:39" x14ac:dyDescent="0.35">
      <c r="A172">
        <v>10</v>
      </c>
      <c r="B172">
        <v>2</v>
      </c>
      <c r="C172" t="s">
        <v>154</v>
      </c>
      <c r="D172" t="s">
        <v>137</v>
      </c>
      <c r="E172" s="2">
        <v>0.41041666666666665</v>
      </c>
      <c r="F172" s="2">
        <v>0.55277777777777781</v>
      </c>
      <c r="G172" s="13">
        <v>0.14236111111111116</v>
      </c>
      <c r="H172" s="2" t="s">
        <v>142</v>
      </c>
      <c r="I172" s="24" t="s">
        <v>6</v>
      </c>
      <c r="J172" s="24">
        <v>3</v>
      </c>
      <c r="K172" s="24" t="s">
        <v>5</v>
      </c>
      <c r="L172" s="14" t="s">
        <v>3</v>
      </c>
      <c r="M172">
        <v>10</v>
      </c>
      <c r="N172">
        <v>5</v>
      </c>
      <c r="O172">
        <v>17</v>
      </c>
      <c r="P172">
        <v>1</v>
      </c>
      <c r="Q172">
        <v>3</v>
      </c>
      <c r="R172">
        <v>11</v>
      </c>
      <c r="S172">
        <v>9</v>
      </c>
      <c r="T172">
        <v>26</v>
      </c>
      <c r="U172">
        <v>11</v>
      </c>
      <c r="V172">
        <v>1</v>
      </c>
      <c r="W172">
        <v>6</v>
      </c>
      <c r="X172">
        <v>3</v>
      </c>
      <c r="Y172">
        <v>3</v>
      </c>
      <c r="Z172">
        <v>1</v>
      </c>
      <c r="AA172">
        <v>1</v>
      </c>
      <c r="AB172">
        <v>2</v>
      </c>
      <c r="AC172" s="18">
        <f>SUMPRODUCT(OG_Data!D$1:S$1, M172:AB172) /SUM(M172:AB172)</f>
        <v>6.709090909090909</v>
      </c>
      <c r="AD172">
        <f t="shared" si="10"/>
        <v>110</v>
      </c>
      <c r="AE172">
        <v>0</v>
      </c>
      <c r="AF172">
        <v>6</v>
      </c>
      <c r="AG172">
        <v>25</v>
      </c>
      <c r="AH172">
        <f>Table3[[#This Row],[Flies_per_Vial]]*Table3[[#This Row],[Vials_Total_UsedInMaze]]</f>
        <v>150</v>
      </c>
      <c r="AI172">
        <f>Table3[[#This Row],[total_Flies]]/Table3[[#This Row],[flies_in]]</f>
        <v>0.73333333333333328</v>
      </c>
      <c r="AJ172"/>
      <c r="AK172" s="31">
        <f t="shared" si="12"/>
        <v>9.85</v>
      </c>
      <c r="AL172" s="31">
        <f t="shared" ref="AL172:AL198" si="13">24*F172</f>
        <v>13.266666666666667</v>
      </c>
      <c r="AM172" s="31">
        <f>Table3[[#This Row],[end_time_num]]-Table3[[#This Row],[start_time_num]]</f>
        <v>3.4166666666666679</v>
      </c>
    </row>
    <row r="173" spans="1:39" x14ac:dyDescent="0.35">
      <c r="A173">
        <v>10</v>
      </c>
      <c r="B173">
        <v>2</v>
      </c>
      <c r="C173" t="s">
        <v>154</v>
      </c>
      <c r="D173" t="s">
        <v>137</v>
      </c>
      <c r="E173" s="2">
        <v>0.41041666666666665</v>
      </c>
      <c r="F173" s="2">
        <v>0.55833333333333335</v>
      </c>
      <c r="G173" s="13">
        <v>0.1479166666666667</v>
      </c>
      <c r="H173" s="2" t="s">
        <v>142</v>
      </c>
      <c r="I173" s="24" t="s">
        <v>6</v>
      </c>
      <c r="J173" s="24">
        <v>3</v>
      </c>
      <c r="K173" s="24" t="s">
        <v>4</v>
      </c>
      <c r="L173" s="14" t="s">
        <v>0</v>
      </c>
      <c r="M173">
        <v>19</v>
      </c>
      <c r="N173">
        <v>8</v>
      </c>
      <c r="O173">
        <v>8</v>
      </c>
      <c r="P173">
        <v>5</v>
      </c>
      <c r="Q173">
        <v>11</v>
      </c>
      <c r="R173">
        <v>8</v>
      </c>
      <c r="S173">
        <v>8</v>
      </c>
      <c r="T173">
        <v>13</v>
      </c>
      <c r="U173">
        <v>1</v>
      </c>
      <c r="V173">
        <v>1</v>
      </c>
      <c r="W173">
        <v>4</v>
      </c>
      <c r="X173">
        <v>1</v>
      </c>
      <c r="Y173">
        <v>2</v>
      </c>
      <c r="Z173">
        <v>1</v>
      </c>
      <c r="AA173">
        <v>3</v>
      </c>
      <c r="AB173">
        <v>0</v>
      </c>
      <c r="AC173" s="18">
        <f>SUMPRODUCT(OG_Data!D$1:S$1, M173:AB173) /SUM(M173:AB173)</f>
        <v>5.397849462365591</v>
      </c>
      <c r="AD173">
        <f t="shared" si="10"/>
        <v>93</v>
      </c>
      <c r="AE173">
        <v>0</v>
      </c>
      <c r="AF173">
        <v>4</v>
      </c>
      <c r="AG173">
        <v>25</v>
      </c>
      <c r="AH173">
        <f>Table3[[#This Row],[Flies_per_Vial]]*Table3[[#This Row],[Vials_Total_UsedInMaze]]</f>
        <v>100</v>
      </c>
      <c r="AI173">
        <f>Table3[[#This Row],[total_Flies]]/Table3[[#This Row],[flies_in]]</f>
        <v>0.93</v>
      </c>
      <c r="AJ173"/>
      <c r="AK173" s="31">
        <f t="shared" si="12"/>
        <v>9.85</v>
      </c>
      <c r="AL173" s="31">
        <f t="shared" si="13"/>
        <v>13.4</v>
      </c>
      <c r="AM173" s="31">
        <f>Table3[[#This Row],[end_time_num]]-Table3[[#This Row],[start_time_num]]</f>
        <v>3.5500000000000007</v>
      </c>
    </row>
    <row r="174" spans="1:39" x14ac:dyDescent="0.35">
      <c r="A174">
        <v>10</v>
      </c>
      <c r="B174">
        <v>2</v>
      </c>
      <c r="C174" t="s">
        <v>154</v>
      </c>
      <c r="D174" t="s">
        <v>137</v>
      </c>
      <c r="E174" s="2">
        <v>0.41041666666666665</v>
      </c>
      <c r="F174" s="2">
        <v>0.54097222222222219</v>
      </c>
      <c r="G174" s="13">
        <v>0.13055555555555554</v>
      </c>
      <c r="H174" s="2" t="s">
        <v>142</v>
      </c>
      <c r="I174" s="24" t="s">
        <v>6</v>
      </c>
      <c r="J174" s="24">
        <v>3</v>
      </c>
      <c r="K174" s="24" t="s">
        <v>2</v>
      </c>
      <c r="L174" s="14" t="s">
        <v>0</v>
      </c>
      <c r="M174">
        <v>5</v>
      </c>
      <c r="N174">
        <v>3</v>
      </c>
      <c r="O174">
        <v>2</v>
      </c>
      <c r="P174">
        <v>0</v>
      </c>
      <c r="Q174">
        <v>4</v>
      </c>
      <c r="R174">
        <v>3</v>
      </c>
      <c r="S174">
        <v>2</v>
      </c>
      <c r="T174">
        <v>2</v>
      </c>
      <c r="U174">
        <v>4</v>
      </c>
      <c r="V174">
        <v>10</v>
      </c>
      <c r="W174">
        <v>7</v>
      </c>
      <c r="X174">
        <v>2</v>
      </c>
      <c r="Y174">
        <v>7</v>
      </c>
      <c r="Z174">
        <v>0</v>
      </c>
      <c r="AA174">
        <v>0</v>
      </c>
      <c r="AB174">
        <v>40</v>
      </c>
      <c r="AC174" s="18">
        <f>SUMPRODUCT(OG_Data!D$1:S$1, M174:AB174) /SUM(M174:AB174)</f>
        <v>11.571428571428571</v>
      </c>
      <c r="AD174">
        <f t="shared" si="10"/>
        <v>91</v>
      </c>
      <c r="AE174">
        <v>0</v>
      </c>
      <c r="AF174">
        <v>5</v>
      </c>
      <c r="AG174">
        <v>25</v>
      </c>
      <c r="AH174">
        <f>Table3[[#This Row],[Flies_per_Vial]]*Table3[[#This Row],[Vials_Total_UsedInMaze]]</f>
        <v>125</v>
      </c>
      <c r="AI174">
        <f>Table3[[#This Row],[total_Flies]]/Table3[[#This Row],[flies_in]]</f>
        <v>0.72799999999999998</v>
      </c>
      <c r="AJ174"/>
      <c r="AK174" s="31">
        <f t="shared" si="12"/>
        <v>9.85</v>
      </c>
      <c r="AL174" s="31">
        <f t="shared" si="13"/>
        <v>12.983333333333333</v>
      </c>
      <c r="AM174" s="31">
        <f>Table3[[#This Row],[end_time_num]]-Table3[[#This Row],[start_time_num]]</f>
        <v>3.1333333333333329</v>
      </c>
    </row>
    <row r="175" spans="1:39" x14ac:dyDescent="0.35">
      <c r="A175">
        <v>10</v>
      </c>
      <c r="B175">
        <v>2</v>
      </c>
      <c r="C175" t="s">
        <v>154</v>
      </c>
      <c r="D175" t="s">
        <v>137</v>
      </c>
      <c r="E175" s="2">
        <v>0.41041666666666665</v>
      </c>
      <c r="F175" s="2">
        <v>0.54722222222222228</v>
      </c>
      <c r="G175" s="13">
        <v>0.13680555555555562</v>
      </c>
      <c r="H175" s="2" t="s">
        <v>142</v>
      </c>
      <c r="I175" s="24" t="s">
        <v>6</v>
      </c>
      <c r="J175" s="24">
        <v>3</v>
      </c>
      <c r="K175" s="24" t="s">
        <v>1</v>
      </c>
      <c r="L175" s="14" t="s">
        <v>3</v>
      </c>
      <c r="M175">
        <v>4</v>
      </c>
      <c r="N175">
        <v>4</v>
      </c>
      <c r="O175">
        <v>7</v>
      </c>
      <c r="P175">
        <v>1</v>
      </c>
      <c r="Q175">
        <v>9</v>
      </c>
      <c r="R175">
        <v>3</v>
      </c>
      <c r="S175">
        <v>11</v>
      </c>
      <c r="T175">
        <v>9</v>
      </c>
      <c r="U175">
        <v>3</v>
      </c>
      <c r="V175">
        <v>3</v>
      </c>
      <c r="W175">
        <v>5</v>
      </c>
      <c r="X175">
        <v>1</v>
      </c>
      <c r="Y175">
        <v>1</v>
      </c>
      <c r="Z175">
        <v>0</v>
      </c>
      <c r="AA175">
        <v>0</v>
      </c>
      <c r="AB175">
        <v>0</v>
      </c>
      <c r="AC175" s="18">
        <f>SUMPRODUCT(OG_Data!D$1:S$1, M175:AB175) /SUM(M175:AB175)</f>
        <v>6.3278688524590168</v>
      </c>
      <c r="AD175">
        <f t="shared" si="10"/>
        <v>61</v>
      </c>
      <c r="AE175">
        <v>0</v>
      </c>
      <c r="AF175">
        <v>6</v>
      </c>
      <c r="AG175">
        <v>25</v>
      </c>
      <c r="AH175">
        <f>Table3[[#This Row],[Flies_per_Vial]]*Table3[[#This Row],[Vials_Total_UsedInMaze]]</f>
        <v>150</v>
      </c>
      <c r="AI175">
        <f>Table3[[#This Row],[total_Flies]]/Table3[[#This Row],[flies_in]]</f>
        <v>0.40666666666666668</v>
      </c>
      <c r="AJ175"/>
      <c r="AK175" s="31">
        <f t="shared" si="12"/>
        <v>9.85</v>
      </c>
      <c r="AL175" s="31">
        <f t="shared" si="13"/>
        <v>13.133333333333335</v>
      </c>
      <c r="AM175" s="31">
        <f>Table3[[#This Row],[end_time_num]]-Table3[[#This Row],[start_time_num]]</f>
        <v>3.283333333333335</v>
      </c>
    </row>
    <row r="176" spans="1:39" x14ac:dyDescent="0.35">
      <c r="A176">
        <v>10</v>
      </c>
      <c r="B176">
        <v>2</v>
      </c>
      <c r="C176" t="s">
        <v>155</v>
      </c>
      <c r="D176" t="s">
        <v>137</v>
      </c>
      <c r="E176" s="2">
        <v>0.62847222222222221</v>
      </c>
      <c r="F176" s="2">
        <v>0.82291666666666663</v>
      </c>
      <c r="G176" s="13">
        <v>0.19444444444444442</v>
      </c>
      <c r="H176" s="2" t="s">
        <v>136</v>
      </c>
      <c r="I176" s="24" t="s">
        <v>6</v>
      </c>
      <c r="J176" s="24">
        <v>4</v>
      </c>
      <c r="K176" s="24" t="s">
        <v>5</v>
      </c>
      <c r="L176" s="14" t="s">
        <v>0</v>
      </c>
      <c r="M176">
        <v>0</v>
      </c>
      <c r="N176">
        <v>0</v>
      </c>
      <c r="O176">
        <v>1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2</v>
      </c>
      <c r="X176">
        <v>0</v>
      </c>
      <c r="Y176">
        <v>1</v>
      </c>
      <c r="Z176">
        <v>0</v>
      </c>
      <c r="AA176">
        <v>0</v>
      </c>
      <c r="AB176">
        <v>0</v>
      </c>
      <c r="AC176" s="18">
        <f>SUMPRODUCT(OG_Data!D$1:S$1, M176:AB176) /SUM(M176:AB176)</f>
        <v>7.8571428571428568</v>
      </c>
      <c r="AD176">
        <f t="shared" si="10"/>
        <v>7</v>
      </c>
      <c r="AE176">
        <v>0</v>
      </c>
      <c r="AF176">
        <v>5</v>
      </c>
      <c r="AG176">
        <v>25</v>
      </c>
      <c r="AH176">
        <f>Table3[[#This Row],[Flies_per_Vial]]*Table3[[#This Row],[Vials_Total_UsedInMaze]]</f>
        <v>125</v>
      </c>
      <c r="AI176">
        <f>Table3[[#This Row],[total_Flies]]/Table3[[#This Row],[flies_in]]</f>
        <v>5.6000000000000001E-2</v>
      </c>
      <c r="AJ176"/>
      <c r="AK176" s="31">
        <f>24*E176</f>
        <v>15.083333333333332</v>
      </c>
      <c r="AL176" s="31">
        <f t="shared" si="13"/>
        <v>19.75</v>
      </c>
      <c r="AM176" s="31">
        <f>Table3[[#This Row],[end_time_num]]-Table3[[#This Row],[start_time_num]]</f>
        <v>4.6666666666666679</v>
      </c>
    </row>
    <row r="177" spans="1:40" x14ac:dyDescent="0.35">
      <c r="A177">
        <v>10</v>
      </c>
      <c r="B177">
        <v>2</v>
      </c>
      <c r="C177" t="s">
        <v>155</v>
      </c>
      <c r="D177" t="s">
        <v>137</v>
      </c>
      <c r="E177" s="2">
        <v>0.62847222222222221</v>
      </c>
      <c r="F177" s="2">
        <v>0.82638888888888884</v>
      </c>
      <c r="G177" s="13">
        <v>0.19791666666666663</v>
      </c>
      <c r="H177" s="2" t="s">
        <v>136</v>
      </c>
      <c r="I177" s="24" t="s">
        <v>6</v>
      </c>
      <c r="J177" s="24">
        <v>4</v>
      </c>
      <c r="K177" s="24" t="s">
        <v>4</v>
      </c>
      <c r="L177" s="14" t="s">
        <v>3</v>
      </c>
      <c r="M177">
        <v>6</v>
      </c>
      <c r="N177">
        <v>9</v>
      </c>
      <c r="O177">
        <v>4</v>
      </c>
      <c r="P177">
        <v>8</v>
      </c>
      <c r="Q177">
        <v>9</v>
      </c>
      <c r="R177">
        <v>12</v>
      </c>
      <c r="S177">
        <v>6</v>
      </c>
      <c r="T177">
        <v>8</v>
      </c>
      <c r="U177">
        <v>8</v>
      </c>
      <c r="V177">
        <v>3</v>
      </c>
      <c r="W177">
        <v>4</v>
      </c>
      <c r="X177">
        <v>2</v>
      </c>
      <c r="Y177">
        <v>1</v>
      </c>
      <c r="Z177">
        <v>1</v>
      </c>
      <c r="AA177">
        <v>0</v>
      </c>
      <c r="AB177">
        <v>0</v>
      </c>
      <c r="AC177" s="18">
        <f>SUMPRODUCT(OG_Data!D$1:S$1, M177:AB177) /SUM(M177:AB177)</f>
        <v>6.0246913580246915</v>
      </c>
      <c r="AD177">
        <f t="shared" si="10"/>
        <v>81</v>
      </c>
      <c r="AE177">
        <v>0</v>
      </c>
      <c r="AF177">
        <v>5</v>
      </c>
      <c r="AG177">
        <v>25</v>
      </c>
      <c r="AH177">
        <f>Table3[[#This Row],[Flies_per_Vial]]*Table3[[#This Row],[Vials_Total_UsedInMaze]]</f>
        <v>125</v>
      </c>
      <c r="AI177">
        <f>Table3[[#This Row],[total_Flies]]/Table3[[#This Row],[flies_in]]</f>
        <v>0.64800000000000002</v>
      </c>
      <c r="AJ177"/>
      <c r="AK177" s="31">
        <f t="shared" si="12"/>
        <v>15.083333333333332</v>
      </c>
      <c r="AL177" s="31">
        <f t="shared" si="13"/>
        <v>19.833333333333332</v>
      </c>
      <c r="AM177" s="31">
        <f>Table3[[#This Row],[end_time_num]]-Table3[[#This Row],[start_time_num]]</f>
        <v>4.75</v>
      </c>
    </row>
    <row r="178" spans="1:40" x14ac:dyDescent="0.35">
      <c r="A178">
        <v>10</v>
      </c>
      <c r="B178">
        <v>2</v>
      </c>
      <c r="C178" t="s">
        <v>155</v>
      </c>
      <c r="D178" t="s">
        <v>137</v>
      </c>
      <c r="E178" s="2">
        <v>0.62847222222222199</v>
      </c>
      <c r="F178" s="2">
        <v>0.83194444444444449</v>
      </c>
      <c r="G178" s="13">
        <v>0.2034722222222225</v>
      </c>
      <c r="H178" s="2" t="s">
        <v>136</v>
      </c>
      <c r="I178" s="24" t="s">
        <v>6</v>
      </c>
      <c r="J178" s="24">
        <v>4</v>
      </c>
      <c r="K178" s="24" t="s">
        <v>2</v>
      </c>
      <c r="L178" s="14" t="s">
        <v>3</v>
      </c>
      <c r="M178">
        <v>16</v>
      </c>
      <c r="N178">
        <v>14</v>
      </c>
      <c r="O178">
        <v>17</v>
      </c>
      <c r="P178">
        <v>12</v>
      </c>
      <c r="Q178">
        <v>3</v>
      </c>
      <c r="R178">
        <v>4</v>
      </c>
      <c r="S178">
        <v>4</v>
      </c>
      <c r="T178">
        <v>7</v>
      </c>
      <c r="U178">
        <v>19</v>
      </c>
      <c r="V178">
        <v>4</v>
      </c>
      <c r="W178">
        <v>3</v>
      </c>
      <c r="X178">
        <v>0</v>
      </c>
      <c r="Y178">
        <v>4</v>
      </c>
      <c r="Z178">
        <v>3</v>
      </c>
      <c r="AA178">
        <v>2</v>
      </c>
      <c r="AB178">
        <v>1</v>
      </c>
      <c r="AC178" s="18">
        <f>SUMPRODUCT(OG_Data!D$1:S$1, M178:AB178) /SUM(M178:AB178)</f>
        <v>5.7522123893805306</v>
      </c>
      <c r="AD178">
        <f t="shared" si="10"/>
        <v>113</v>
      </c>
      <c r="AE178">
        <v>0</v>
      </c>
      <c r="AF178">
        <v>6</v>
      </c>
      <c r="AG178">
        <v>25</v>
      </c>
      <c r="AH178">
        <f>Table3[[#This Row],[Flies_per_Vial]]*Table3[[#This Row],[Vials_Total_UsedInMaze]]</f>
        <v>150</v>
      </c>
      <c r="AI178">
        <f>Table3[[#This Row],[total_Flies]]/Table3[[#This Row],[flies_in]]</f>
        <v>0.7533333333333333</v>
      </c>
      <c r="AJ178"/>
      <c r="AK178" s="31">
        <f t="shared" si="12"/>
        <v>15.083333333333329</v>
      </c>
      <c r="AL178" s="31">
        <f t="shared" si="13"/>
        <v>19.966666666666669</v>
      </c>
      <c r="AM178" s="31">
        <f>Table3[[#This Row],[end_time_num]]-Table3[[#This Row],[start_time_num]]</f>
        <v>4.88333333333334</v>
      </c>
    </row>
    <row r="179" spans="1:40" x14ac:dyDescent="0.35">
      <c r="A179">
        <v>10</v>
      </c>
      <c r="B179">
        <v>2</v>
      </c>
      <c r="C179" t="s">
        <v>155</v>
      </c>
      <c r="D179" t="s">
        <v>137</v>
      </c>
      <c r="E179" s="2">
        <v>0.62847222222222199</v>
      </c>
      <c r="F179" s="2">
        <v>0.83819444444444446</v>
      </c>
      <c r="G179" s="13">
        <v>0.20972222222222248</v>
      </c>
      <c r="H179" s="2" t="s">
        <v>136</v>
      </c>
      <c r="I179" s="24" t="s">
        <v>6</v>
      </c>
      <c r="J179" s="24">
        <v>4</v>
      </c>
      <c r="K179" s="24" t="s">
        <v>1</v>
      </c>
      <c r="L179" s="14" t="s">
        <v>0</v>
      </c>
      <c r="M179">
        <v>15</v>
      </c>
      <c r="N179">
        <v>25</v>
      </c>
      <c r="O179">
        <v>22</v>
      </c>
      <c r="P179">
        <v>21</v>
      </c>
      <c r="Q179">
        <v>17</v>
      </c>
      <c r="R179">
        <v>13</v>
      </c>
      <c r="S179">
        <v>3</v>
      </c>
      <c r="T179">
        <v>7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s="18">
        <f>SUMPRODUCT(OG_Data!D$1:S$1, M179:AB179) /SUM(M179:AB179)</f>
        <v>3.7839999999999998</v>
      </c>
      <c r="AD179">
        <f t="shared" si="10"/>
        <v>125</v>
      </c>
      <c r="AE179">
        <v>0</v>
      </c>
      <c r="AF179">
        <v>6</v>
      </c>
      <c r="AG179">
        <v>25</v>
      </c>
      <c r="AH179">
        <f>Table3[[#This Row],[Flies_per_Vial]]*Table3[[#This Row],[Vials_Total_UsedInMaze]]</f>
        <v>150</v>
      </c>
      <c r="AI179">
        <f>Table3[[#This Row],[total_Flies]]/Table3[[#This Row],[flies_in]]</f>
        <v>0.83333333333333337</v>
      </c>
      <c r="AJ179"/>
      <c r="AK179" s="31">
        <f t="shared" si="12"/>
        <v>15.083333333333329</v>
      </c>
      <c r="AL179" s="31">
        <f t="shared" si="13"/>
        <v>20.116666666666667</v>
      </c>
      <c r="AM179" s="31">
        <f>Table3[[#This Row],[end_time_num]]-Table3[[#This Row],[start_time_num]]</f>
        <v>5.0333333333333385</v>
      </c>
    </row>
    <row r="180" spans="1:40" x14ac:dyDescent="0.35">
      <c r="A180">
        <v>10</v>
      </c>
      <c r="B180">
        <v>3</v>
      </c>
      <c r="C180" t="s">
        <v>154</v>
      </c>
      <c r="D180" t="s">
        <v>141</v>
      </c>
      <c r="E180" s="2">
        <v>0.4236111111111111</v>
      </c>
      <c r="F180" s="2">
        <v>0.52361111111111114</v>
      </c>
      <c r="G180" s="13">
        <v>0.10000000000000003</v>
      </c>
      <c r="H180" s="2" t="s">
        <v>136</v>
      </c>
      <c r="I180" t="s">
        <v>2</v>
      </c>
      <c r="J180">
        <v>1</v>
      </c>
      <c r="K180" s="24" t="s">
        <v>4</v>
      </c>
      <c r="L180" s="26" t="s">
        <v>3</v>
      </c>
      <c r="M180">
        <v>5</v>
      </c>
      <c r="N180">
        <v>3</v>
      </c>
      <c r="O180">
        <v>3</v>
      </c>
      <c r="P180">
        <v>2</v>
      </c>
      <c r="Q180">
        <v>4</v>
      </c>
      <c r="R180">
        <v>9</v>
      </c>
      <c r="S180">
        <v>12</v>
      </c>
      <c r="T180">
        <v>7</v>
      </c>
      <c r="U180">
        <v>11</v>
      </c>
      <c r="V180">
        <v>4</v>
      </c>
      <c r="W180">
        <v>10</v>
      </c>
      <c r="X180">
        <v>3</v>
      </c>
      <c r="Y180">
        <v>1</v>
      </c>
      <c r="Z180">
        <v>0</v>
      </c>
      <c r="AA180">
        <v>1</v>
      </c>
      <c r="AB180">
        <v>0</v>
      </c>
      <c r="AC180" s="18">
        <f>SUMPRODUCT(OG_Data!D$1:S$1, M180:AB180) /SUM(M180:AB180)</f>
        <v>7.4</v>
      </c>
      <c r="AD180">
        <f t="shared" si="10"/>
        <v>75</v>
      </c>
      <c r="AE180">
        <v>0</v>
      </c>
      <c r="AF180">
        <v>5</v>
      </c>
      <c r="AG180">
        <v>25</v>
      </c>
      <c r="AH180">
        <f>Table3[[#This Row],[Flies_per_Vial]]*Table3[[#This Row],[Vials_Total_UsedInMaze]]</f>
        <v>125</v>
      </c>
      <c r="AI180">
        <f>Table3[[#This Row],[total_Flies]]/Table3[[#This Row],[flies_in]]</f>
        <v>0.6</v>
      </c>
      <c r="AJ180"/>
      <c r="AK180" s="31">
        <f t="shared" si="12"/>
        <v>10.166666666666666</v>
      </c>
      <c r="AL180" s="31">
        <f t="shared" si="13"/>
        <v>12.566666666666666</v>
      </c>
      <c r="AM180" s="31">
        <f>Table3[[#This Row],[end_time_num]]-Table3[[#This Row],[start_time_num]]</f>
        <v>2.4000000000000004</v>
      </c>
    </row>
    <row r="181" spans="1:40" x14ac:dyDescent="0.35">
      <c r="A181">
        <v>10</v>
      </c>
      <c r="B181">
        <v>3</v>
      </c>
      <c r="C181" t="s">
        <v>154</v>
      </c>
      <c r="D181" t="s">
        <v>141</v>
      </c>
      <c r="E181" s="2">
        <v>0.4236111111111111</v>
      </c>
      <c r="F181" s="2">
        <v>0.53333333333333333</v>
      </c>
      <c r="G181" s="13">
        <v>0.10972222222222222</v>
      </c>
      <c r="H181" s="2" t="s">
        <v>136</v>
      </c>
      <c r="I181" t="s">
        <v>2</v>
      </c>
      <c r="J181">
        <v>1</v>
      </c>
      <c r="K181" s="24" t="s">
        <v>2</v>
      </c>
      <c r="L181" s="26" t="s">
        <v>3</v>
      </c>
      <c r="M181">
        <v>0</v>
      </c>
      <c r="N181">
        <v>3</v>
      </c>
      <c r="O181">
        <v>6</v>
      </c>
      <c r="P181">
        <v>2</v>
      </c>
      <c r="Q181">
        <v>2</v>
      </c>
      <c r="R181">
        <v>9</v>
      </c>
      <c r="S181">
        <v>2</v>
      </c>
      <c r="T181">
        <v>12</v>
      </c>
      <c r="U181">
        <v>10</v>
      </c>
      <c r="V181">
        <v>9</v>
      </c>
      <c r="W181">
        <v>15</v>
      </c>
      <c r="X181">
        <v>7</v>
      </c>
      <c r="Y181">
        <v>2</v>
      </c>
      <c r="Z181">
        <v>3</v>
      </c>
      <c r="AA181">
        <v>4</v>
      </c>
      <c r="AB181">
        <v>4</v>
      </c>
      <c r="AC181" s="18">
        <f>SUMPRODUCT(OG_Data!D$1:S$1, M181:AB181) /SUM(M181:AB181)</f>
        <v>9.1888888888888882</v>
      </c>
      <c r="AD181">
        <f t="shared" si="10"/>
        <v>90</v>
      </c>
      <c r="AE181">
        <v>0</v>
      </c>
      <c r="AF181">
        <v>5</v>
      </c>
      <c r="AG181">
        <v>25</v>
      </c>
      <c r="AH181">
        <f>Table3[[#This Row],[Flies_per_Vial]]*Table3[[#This Row],[Vials_Total_UsedInMaze]]</f>
        <v>125</v>
      </c>
      <c r="AI181">
        <f>Table3[[#This Row],[total_Flies]]/Table3[[#This Row],[flies_in]]</f>
        <v>0.72</v>
      </c>
      <c r="AJ181"/>
      <c r="AK181" s="31">
        <f t="shared" si="12"/>
        <v>10.166666666666666</v>
      </c>
      <c r="AL181" s="31">
        <f t="shared" si="13"/>
        <v>12.8</v>
      </c>
      <c r="AM181" s="31">
        <f>Table3[[#This Row],[end_time_num]]-Table3[[#This Row],[start_time_num]]</f>
        <v>2.6333333333333346</v>
      </c>
    </row>
    <row r="182" spans="1:40" x14ac:dyDescent="0.35">
      <c r="A182">
        <v>10</v>
      </c>
      <c r="B182">
        <v>3</v>
      </c>
      <c r="C182" t="s">
        <v>154</v>
      </c>
      <c r="D182" t="s">
        <v>141</v>
      </c>
      <c r="E182" s="2">
        <v>0.4236111111111111</v>
      </c>
      <c r="F182" s="2">
        <v>0.5395833333333333</v>
      </c>
      <c r="G182" s="13">
        <v>0.1159722222222222</v>
      </c>
      <c r="H182" s="2" t="s">
        <v>136</v>
      </c>
      <c r="I182" t="s">
        <v>2</v>
      </c>
      <c r="J182">
        <v>1</v>
      </c>
      <c r="K182" s="24" t="s">
        <v>1</v>
      </c>
      <c r="L182" s="26" t="s">
        <v>0</v>
      </c>
      <c r="M182">
        <v>1</v>
      </c>
      <c r="N182">
        <v>2</v>
      </c>
      <c r="O182">
        <v>3</v>
      </c>
      <c r="P182">
        <v>3</v>
      </c>
      <c r="Q182">
        <v>3</v>
      </c>
      <c r="R182">
        <v>2</v>
      </c>
      <c r="S182">
        <v>6</v>
      </c>
      <c r="T182">
        <v>11</v>
      </c>
      <c r="U182">
        <v>5</v>
      </c>
      <c r="V182">
        <v>0</v>
      </c>
      <c r="W182">
        <v>12</v>
      </c>
      <c r="X182">
        <v>5</v>
      </c>
      <c r="Y182">
        <v>2</v>
      </c>
      <c r="Z182">
        <v>7</v>
      </c>
      <c r="AA182">
        <v>1</v>
      </c>
      <c r="AB182">
        <v>0</v>
      </c>
      <c r="AC182" s="18">
        <f>SUMPRODUCT(OG_Data!D$1:S$1, M182:AB182) /SUM(M182:AB182)</f>
        <v>8.8730158730158735</v>
      </c>
      <c r="AD182">
        <f t="shared" si="10"/>
        <v>63</v>
      </c>
      <c r="AE182">
        <v>0</v>
      </c>
      <c r="AF182">
        <v>5</v>
      </c>
      <c r="AG182">
        <v>25</v>
      </c>
      <c r="AH182">
        <f>Table3[[#This Row],[Flies_per_Vial]]*Table3[[#This Row],[Vials_Total_UsedInMaze]]</f>
        <v>125</v>
      </c>
      <c r="AI182">
        <f>Table3[[#This Row],[total_Flies]]/Table3[[#This Row],[flies_in]]</f>
        <v>0.504</v>
      </c>
      <c r="AJ182"/>
      <c r="AK182" s="31">
        <f t="shared" si="12"/>
        <v>10.166666666666666</v>
      </c>
      <c r="AL182" s="31">
        <f t="shared" si="13"/>
        <v>12.95</v>
      </c>
      <c r="AM182" s="31">
        <f>Table3[[#This Row],[end_time_num]]-Table3[[#This Row],[start_time_num]]</f>
        <v>2.7833333333333332</v>
      </c>
    </row>
    <row r="183" spans="1:40" x14ac:dyDescent="0.35">
      <c r="A183">
        <v>10</v>
      </c>
      <c r="B183">
        <v>3</v>
      </c>
      <c r="C183" t="s">
        <v>154</v>
      </c>
      <c r="D183" t="s">
        <v>141</v>
      </c>
      <c r="E183" s="2">
        <v>0.57986111111111116</v>
      </c>
      <c r="F183" s="2">
        <v>0.72638888888888886</v>
      </c>
      <c r="G183" s="13">
        <v>0.1465277777777777</v>
      </c>
      <c r="H183" s="2" t="s">
        <v>136</v>
      </c>
      <c r="I183" t="s">
        <v>2</v>
      </c>
      <c r="J183">
        <v>2</v>
      </c>
      <c r="K183" s="24" t="s">
        <v>5</v>
      </c>
      <c r="L183" s="26" t="s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4</v>
      </c>
      <c r="W183">
        <v>2</v>
      </c>
      <c r="X183">
        <v>2</v>
      </c>
      <c r="Y183">
        <v>2</v>
      </c>
      <c r="Z183">
        <v>0</v>
      </c>
      <c r="AA183">
        <v>3</v>
      </c>
      <c r="AB183">
        <v>1</v>
      </c>
      <c r="AC183" s="18">
        <f>SUMPRODUCT(OG_Data!D$1:S$1, M183:AB183) /SUM(M183:AB183)</f>
        <v>11.117647058823529</v>
      </c>
      <c r="AD183">
        <f t="shared" si="10"/>
        <v>17</v>
      </c>
      <c r="AE183">
        <v>0</v>
      </c>
      <c r="AF183">
        <v>4</v>
      </c>
      <c r="AG183">
        <v>25</v>
      </c>
      <c r="AH183">
        <f>Table3[[#This Row],[Flies_per_Vial]]*Table3[[#This Row],[Vials_Total_UsedInMaze]]</f>
        <v>100</v>
      </c>
      <c r="AI183">
        <f>Table3[[#This Row],[total_Flies]]/Table3[[#This Row],[flies_in]]</f>
        <v>0.17</v>
      </c>
      <c r="AJ183"/>
      <c r="AK183" s="31">
        <f t="shared" si="12"/>
        <v>13.916666666666668</v>
      </c>
      <c r="AL183" s="31">
        <f t="shared" si="13"/>
        <v>17.433333333333334</v>
      </c>
      <c r="AM183" s="31">
        <f>Table3[[#This Row],[end_time_num]]-Table3[[#This Row],[start_time_num]]</f>
        <v>3.5166666666666657</v>
      </c>
    </row>
    <row r="184" spans="1:40" x14ac:dyDescent="0.35">
      <c r="A184">
        <v>10</v>
      </c>
      <c r="B184">
        <v>3</v>
      </c>
      <c r="C184" t="s">
        <v>155</v>
      </c>
      <c r="D184" t="s">
        <v>141</v>
      </c>
      <c r="E184" s="2">
        <v>0.57986111111111116</v>
      </c>
      <c r="F184" s="2">
        <v>0.7319444444444444</v>
      </c>
      <c r="G184" s="13">
        <v>0.15208333333333324</v>
      </c>
      <c r="H184" s="2" t="s">
        <v>136</v>
      </c>
      <c r="I184" t="s">
        <v>2</v>
      </c>
      <c r="J184">
        <v>2</v>
      </c>
      <c r="K184" s="24" t="s">
        <v>4</v>
      </c>
      <c r="L184" s="26" t="s">
        <v>3</v>
      </c>
      <c r="M184">
        <v>3</v>
      </c>
      <c r="N184">
        <v>2</v>
      </c>
      <c r="O184">
        <v>3</v>
      </c>
      <c r="P184">
        <v>1</v>
      </c>
      <c r="Q184">
        <v>1</v>
      </c>
      <c r="R184">
        <v>3</v>
      </c>
      <c r="S184">
        <v>6</v>
      </c>
      <c r="T184">
        <v>10</v>
      </c>
      <c r="U184">
        <v>7</v>
      </c>
      <c r="V184">
        <v>11</v>
      </c>
      <c r="W184">
        <v>4</v>
      </c>
      <c r="X184">
        <v>5</v>
      </c>
      <c r="Y184">
        <v>0</v>
      </c>
      <c r="Z184">
        <v>1</v>
      </c>
      <c r="AA184">
        <v>1</v>
      </c>
      <c r="AB184">
        <v>1</v>
      </c>
      <c r="AC184" s="18">
        <f>SUMPRODUCT(OG_Data!D$1:S$1, M184:AB184) /SUM(M184:AB184)</f>
        <v>8.2542372881355934</v>
      </c>
      <c r="AD184">
        <f t="shared" si="10"/>
        <v>59</v>
      </c>
      <c r="AE184">
        <v>0</v>
      </c>
      <c r="AF184">
        <v>6</v>
      </c>
      <c r="AG184">
        <v>25</v>
      </c>
      <c r="AH184">
        <f>Table3[[#This Row],[Flies_per_Vial]]*Table3[[#This Row],[Vials_Total_UsedInMaze]]</f>
        <v>150</v>
      </c>
      <c r="AI184">
        <f>Table3[[#This Row],[total_Flies]]/Table3[[#This Row],[flies_in]]</f>
        <v>0.39333333333333331</v>
      </c>
      <c r="AJ184"/>
      <c r="AK184" s="31">
        <f t="shared" si="12"/>
        <v>13.916666666666668</v>
      </c>
      <c r="AL184" s="31">
        <f t="shared" si="13"/>
        <v>17.566666666666666</v>
      </c>
      <c r="AM184" s="31">
        <f>Table3[[#This Row],[end_time_num]]-Table3[[#This Row],[start_time_num]]</f>
        <v>3.6499999999999986</v>
      </c>
    </row>
    <row r="185" spans="1:40" x14ac:dyDescent="0.35">
      <c r="A185">
        <v>10</v>
      </c>
      <c r="B185">
        <v>3</v>
      </c>
      <c r="C185" t="s">
        <v>155</v>
      </c>
      <c r="D185" t="s">
        <v>141</v>
      </c>
      <c r="E185" s="2">
        <v>0.57986111111111116</v>
      </c>
      <c r="F185" s="2">
        <v>0.73611111111111116</v>
      </c>
      <c r="G185" s="13">
        <v>0.15625</v>
      </c>
      <c r="H185" s="2" t="s">
        <v>136</v>
      </c>
      <c r="I185" t="s">
        <v>2</v>
      </c>
      <c r="J185">
        <v>2</v>
      </c>
      <c r="K185" s="24" t="s">
        <v>2</v>
      </c>
      <c r="L185" s="26" t="s">
        <v>3</v>
      </c>
      <c r="M185">
        <v>10</v>
      </c>
      <c r="N185">
        <v>5</v>
      </c>
      <c r="O185">
        <v>16</v>
      </c>
      <c r="P185">
        <v>2</v>
      </c>
      <c r="Q185">
        <v>3</v>
      </c>
      <c r="R185">
        <v>11</v>
      </c>
      <c r="S185">
        <v>2</v>
      </c>
      <c r="T185">
        <v>5</v>
      </c>
      <c r="U185">
        <v>10</v>
      </c>
      <c r="V185">
        <v>1</v>
      </c>
      <c r="W185">
        <v>5</v>
      </c>
      <c r="X185">
        <v>2</v>
      </c>
      <c r="Y185">
        <v>5</v>
      </c>
      <c r="Z185">
        <v>3</v>
      </c>
      <c r="AA185">
        <v>1</v>
      </c>
      <c r="AB185">
        <v>1</v>
      </c>
      <c r="AC185" s="18">
        <f>SUMPRODUCT(OG_Data!D$1:S$1, M185:AB185) /SUM(M185:AB185)</f>
        <v>6.4390243902439028</v>
      </c>
      <c r="AD185">
        <f t="shared" si="10"/>
        <v>82</v>
      </c>
      <c r="AE185">
        <v>0</v>
      </c>
      <c r="AF185">
        <v>5</v>
      </c>
      <c r="AG185">
        <v>25</v>
      </c>
      <c r="AH185">
        <f>Table3[[#This Row],[Flies_per_Vial]]*Table3[[#This Row],[Vials_Total_UsedInMaze]]</f>
        <v>125</v>
      </c>
      <c r="AI185">
        <f>Table3[[#This Row],[total_Flies]]/Table3[[#This Row],[flies_in]]</f>
        <v>0.65600000000000003</v>
      </c>
      <c r="AJ185"/>
      <c r="AK185" s="31">
        <f t="shared" si="12"/>
        <v>13.916666666666668</v>
      </c>
      <c r="AL185" s="31">
        <f t="shared" si="13"/>
        <v>17.666666666666668</v>
      </c>
      <c r="AM185" s="31">
        <f>Table3[[#This Row],[end_time_num]]-Table3[[#This Row],[start_time_num]]</f>
        <v>3.75</v>
      </c>
    </row>
    <row r="186" spans="1:40" x14ac:dyDescent="0.35">
      <c r="A186">
        <v>10</v>
      </c>
      <c r="B186">
        <v>3</v>
      </c>
      <c r="C186" t="s">
        <v>155</v>
      </c>
      <c r="D186" t="s">
        <v>141</v>
      </c>
      <c r="E186" s="2">
        <v>0.57986111111111116</v>
      </c>
      <c r="F186" s="2">
        <v>0.78402777777777777</v>
      </c>
      <c r="G186" s="13">
        <v>0.20416666666666661</v>
      </c>
      <c r="H186" s="2" t="s">
        <v>136</v>
      </c>
      <c r="I186" t="s">
        <v>2</v>
      </c>
      <c r="J186">
        <v>2</v>
      </c>
      <c r="K186" s="24" t="s">
        <v>1</v>
      </c>
      <c r="L186" s="26" t="s">
        <v>0</v>
      </c>
      <c r="M186">
        <v>0</v>
      </c>
      <c r="N186">
        <v>2</v>
      </c>
      <c r="O186">
        <v>1</v>
      </c>
      <c r="P186">
        <v>2</v>
      </c>
      <c r="Q186">
        <v>9</v>
      </c>
      <c r="R186">
        <v>12</v>
      </c>
      <c r="S186">
        <v>4</v>
      </c>
      <c r="T186">
        <v>10</v>
      </c>
      <c r="U186">
        <v>4</v>
      </c>
      <c r="V186">
        <v>0</v>
      </c>
      <c r="W186">
        <v>7</v>
      </c>
      <c r="X186">
        <v>1</v>
      </c>
      <c r="Y186">
        <v>8</v>
      </c>
      <c r="Z186">
        <v>2</v>
      </c>
      <c r="AA186">
        <v>0</v>
      </c>
      <c r="AB186">
        <v>0</v>
      </c>
      <c r="AC186" s="18">
        <f>SUMPRODUCT(OG_Data!D$1:S$1, M186:AB186) /SUM(M186:AB186)</f>
        <v>8.0161290322580641</v>
      </c>
      <c r="AD186">
        <f t="shared" si="10"/>
        <v>62</v>
      </c>
      <c r="AE186">
        <v>0</v>
      </c>
      <c r="AF186">
        <v>4</v>
      </c>
      <c r="AG186">
        <v>25</v>
      </c>
      <c r="AH186">
        <f>Table3[[#This Row],[Flies_per_Vial]]*Table3[[#This Row],[Vials_Total_UsedInMaze]]</f>
        <v>100</v>
      </c>
      <c r="AI186">
        <f>Table3[[#This Row],[total_Flies]]/Table3[[#This Row],[flies_in]]</f>
        <v>0.62</v>
      </c>
      <c r="AJ186"/>
      <c r="AK186" s="31">
        <f t="shared" si="12"/>
        <v>13.916666666666668</v>
      </c>
      <c r="AL186" s="31">
        <f t="shared" si="13"/>
        <v>18.816666666666666</v>
      </c>
      <c r="AM186" s="31">
        <f>Table3[[#This Row],[end_time_num]]-Table3[[#This Row],[start_time_num]]</f>
        <v>4.8999999999999986</v>
      </c>
    </row>
    <row r="187" spans="1:40" s="19" customFormat="1" x14ac:dyDescent="0.35">
      <c r="A187">
        <v>10</v>
      </c>
      <c r="B187">
        <v>3</v>
      </c>
      <c r="C187" t="s">
        <v>155</v>
      </c>
      <c r="D187" t="s">
        <v>141</v>
      </c>
      <c r="E187" s="20">
        <v>0.75694444444444442</v>
      </c>
      <c r="F187" s="20">
        <v>0.86597222222222225</v>
      </c>
      <c r="G187" s="21">
        <v>0.10902777777777783</v>
      </c>
      <c r="H187" s="20" t="s">
        <v>136</v>
      </c>
      <c r="I187" s="19" t="s">
        <v>2</v>
      </c>
      <c r="J187" s="19">
        <v>3</v>
      </c>
      <c r="K187" s="19" t="s">
        <v>5</v>
      </c>
      <c r="L187" s="22" t="s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3</v>
      </c>
      <c r="R187" s="19">
        <v>4</v>
      </c>
      <c r="S187" s="19">
        <v>10</v>
      </c>
      <c r="T187" s="19">
        <v>11</v>
      </c>
      <c r="U187" s="19">
        <v>4</v>
      </c>
      <c r="V187" s="19">
        <v>37</v>
      </c>
      <c r="W187" s="19">
        <v>8</v>
      </c>
      <c r="X187" s="19">
        <v>8</v>
      </c>
      <c r="Y187" s="19">
        <v>6</v>
      </c>
      <c r="Z187" s="19">
        <v>1</v>
      </c>
      <c r="AA187" s="19">
        <v>18</v>
      </c>
      <c r="AB187" s="19">
        <v>1</v>
      </c>
      <c r="AC187" s="23">
        <f>SUMPRODUCT(OG_Data!D$1:S$1, M187:AB187) /SUM(M187:AB187)</f>
        <v>10.495495495495495</v>
      </c>
      <c r="AD187" s="19">
        <f t="shared" si="10"/>
        <v>111</v>
      </c>
      <c r="AE187" s="19">
        <v>0</v>
      </c>
      <c r="AF187" s="19">
        <v>5</v>
      </c>
      <c r="AG187">
        <v>25</v>
      </c>
      <c r="AH187">
        <f>Table3[[#This Row],[Flies_per_Vial]]*Table3[[#This Row],[Vials_Total_UsedInMaze]]</f>
        <v>125</v>
      </c>
      <c r="AI187">
        <f>Table3[[#This Row],[total_Flies]]/Table3[[#This Row],[flies_in]]</f>
        <v>0.88800000000000001</v>
      </c>
      <c r="AJ187"/>
      <c r="AK187" s="32">
        <f t="shared" ref="AK187:AK205" si="14">24*E187</f>
        <v>18.166666666666664</v>
      </c>
      <c r="AL187" s="32">
        <f t="shared" si="13"/>
        <v>20.783333333333335</v>
      </c>
      <c r="AM187" s="32">
        <f>Table3[[#This Row],[end_time_num]]-Table3[[#This Row],[start_time_num]]</f>
        <v>2.6166666666666707</v>
      </c>
    </row>
    <row r="188" spans="1:40" s="19" customFormat="1" x14ac:dyDescent="0.35">
      <c r="A188">
        <v>10</v>
      </c>
      <c r="B188">
        <v>3</v>
      </c>
      <c r="C188" t="s">
        <v>155</v>
      </c>
      <c r="D188" t="s">
        <v>141</v>
      </c>
      <c r="E188" s="20">
        <v>0.75694444444444442</v>
      </c>
      <c r="F188" s="20">
        <v>0.87569444444444444</v>
      </c>
      <c r="G188" s="21">
        <v>0.11875000000000002</v>
      </c>
      <c r="H188" s="20" t="s">
        <v>136</v>
      </c>
      <c r="I188" s="19" t="s">
        <v>2</v>
      </c>
      <c r="J188" s="19">
        <v>3</v>
      </c>
      <c r="K188" s="19" t="s">
        <v>4</v>
      </c>
      <c r="L188" s="22" t="s">
        <v>3</v>
      </c>
      <c r="M188" s="19">
        <v>4</v>
      </c>
      <c r="N188" s="19">
        <v>1</v>
      </c>
      <c r="O188" s="19">
        <v>8</v>
      </c>
      <c r="P188" s="19">
        <v>4</v>
      </c>
      <c r="Q188" s="19">
        <v>1</v>
      </c>
      <c r="R188" s="19">
        <v>0</v>
      </c>
      <c r="S188" s="19">
        <v>5</v>
      </c>
      <c r="T188" s="19">
        <v>0</v>
      </c>
      <c r="U188" s="19">
        <v>0</v>
      </c>
      <c r="V188" s="19">
        <v>9</v>
      </c>
      <c r="W188" s="19">
        <v>8</v>
      </c>
      <c r="X188" s="19">
        <v>4</v>
      </c>
      <c r="Y188" s="19">
        <v>1</v>
      </c>
      <c r="Z188" s="19">
        <v>1</v>
      </c>
      <c r="AA188" s="19">
        <v>1</v>
      </c>
      <c r="AB188" s="19">
        <v>2</v>
      </c>
      <c r="AC188" s="23">
        <f>SUMPRODUCT(OG_Data!D$1:S$1, M188:AB188) /SUM(M188:AB188)</f>
        <v>7.8775510204081636</v>
      </c>
      <c r="AD188" s="19">
        <f t="shared" si="10"/>
        <v>49</v>
      </c>
      <c r="AE188" s="19">
        <v>0</v>
      </c>
      <c r="AF188" s="19">
        <v>6</v>
      </c>
      <c r="AG188">
        <v>25</v>
      </c>
      <c r="AH188">
        <f>Table3[[#This Row],[Flies_per_Vial]]*Table3[[#This Row],[Vials_Total_UsedInMaze]]</f>
        <v>150</v>
      </c>
      <c r="AI188">
        <f>Table3[[#This Row],[total_Flies]]/Table3[[#This Row],[flies_in]]</f>
        <v>0.32666666666666666</v>
      </c>
      <c r="AJ188"/>
      <c r="AK188" s="32">
        <f t="shared" si="14"/>
        <v>18.166666666666664</v>
      </c>
      <c r="AL188" s="32">
        <f t="shared" si="13"/>
        <v>21.016666666666666</v>
      </c>
      <c r="AM188" s="32">
        <f>Table3[[#This Row],[end_time_num]]-Table3[[#This Row],[start_time_num]]</f>
        <v>2.8500000000000014</v>
      </c>
    </row>
    <row r="189" spans="1:40" s="19" customFormat="1" x14ac:dyDescent="0.35">
      <c r="A189">
        <v>10</v>
      </c>
      <c r="B189">
        <v>3</v>
      </c>
      <c r="C189" t="s">
        <v>155</v>
      </c>
      <c r="D189" t="s">
        <v>141</v>
      </c>
      <c r="E189" s="20">
        <v>0.75694444444444442</v>
      </c>
      <c r="F189" s="20">
        <v>0.88263888888888886</v>
      </c>
      <c r="G189" s="21">
        <v>0.12569444444444444</v>
      </c>
      <c r="H189" s="20" t="s">
        <v>136</v>
      </c>
      <c r="I189" s="19" t="s">
        <v>2</v>
      </c>
      <c r="J189" s="19">
        <v>4</v>
      </c>
      <c r="K189" s="19" t="s">
        <v>2</v>
      </c>
      <c r="L189" s="22" t="s">
        <v>3</v>
      </c>
      <c r="M189" s="19">
        <v>1</v>
      </c>
      <c r="N189" s="19">
        <v>0</v>
      </c>
      <c r="O189" s="19">
        <v>2</v>
      </c>
      <c r="P189" s="19">
        <v>1</v>
      </c>
      <c r="Q189" s="19">
        <v>6</v>
      </c>
      <c r="R189" s="19">
        <v>6</v>
      </c>
      <c r="S189" s="19">
        <v>3</v>
      </c>
      <c r="T189" s="19">
        <v>15</v>
      </c>
      <c r="U189" s="19">
        <v>13</v>
      </c>
      <c r="V189" s="19">
        <v>3</v>
      </c>
      <c r="W189" s="19">
        <v>34</v>
      </c>
      <c r="X189" s="19">
        <v>14</v>
      </c>
      <c r="Y189" s="19">
        <v>10</v>
      </c>
      <c r="Z189" s="19">
        <v>18</v>
      </c>
      <c r="AA189" s="19">
        <v>13</v>
      </c>
      <c r="AB189" s="19">
        <v>11</v>
      </c>
      <c r="AC189" s="23">
        <f>SUMPRODUCT(OG_Data!D$1:S$1, M189:AB189) /SUM(M189:AB189)</f>
        <v>11.066666666666666</v>
      </c>
      <c r="AD189" s="19">
        <f t="shared" si="10"/>
        <v>150</v>
      </c>
      <c r="AE189" s="19">
        <v>0</v>
      </c>
      <c r="AF189" s="19">
        <v>6</v>
      </c>
      <c r="AG189">
        <v>25</v>
      </c>
      <c r="AH189">
        <f>Table3[[#This Row],[Flies_per_Vial]]*Table3[[#This Row],[Vials_Total_UsedInMaze]]</f>
        <v>150</v>
      </c>
      <c r="AI189">
        <f>Table3[[#This Row],[total_Flies]]/Table3[[#This Row],[flies_in]]</f>
        <v>1</v>
      </c>
      <c r="AJ189"/>
      <c r="AK189" s="32">
        <f t="shared" si="14"/>
        <v>18.166666666666664</v>
      </c>
      <c r="AL189" s="32">
        <f t="shared" si="13"/>
        <v>21.183333333333334</v>
      </c>
      <c r="AM189" s="32">
        <f>Table3[[#This Row],[end_time_num]]-Table3[[#This Row],[start_time_num]]</f>
        <v>3.0166666666666693</v>
      </c>
    </row>
    <row r="190" spans="1:40" s="19" customFormat="1" x14ac:dyDescent="0.35">
      <c r="A190">
        <v>10</v>
      </c>
      <c r="B190">
        <v>3</v>
      </c>
      <c r="C190" t="s">
        <v>155</v>
      </c>
      <c r="D190" t="s">
        <v>141</v>
      </c>
      <c r="E190" s="20">
        <v>0.75694444444444442</v>
      </c>
      <c r="F190" s="20">
        <v>0.88958333333333328</v>
      </c>
      <c r="G190" s="21">
        <v>0.13263888888888886</v>
      </c>
      <c r="H190" s="20" t="s">
        <v>136</v>
      </c>
      <c r="I190" s="19" t="s">
        <v>2</v>
      </c>
      <c r="J190" s="19">
        <v>4</v>
      </c>
      <c r="K190" s="19" t="s">
        <v>1</v>
      </c>
      <c r="L190" s="22" t="s">
        <v>0</v>
      </c>
      <c r="M190" s="19">
        <v>0</v>
      </c>
      <c r="N190" s="19">
        <v>1</v>
      </c>
      <c r="O190" s="19">
        <v>3</v>
      </c>
      <c r="P190" s="19">
        <v>3</v>
      </c>
      <c r="Q190" s="19">
        <v>2</v>
      </c>
      <c r="R190" s="19">
        <v>5</v>
      </c>
      <c r="S190" s="19">
        <v>0</v>
      </c>
      <c r="T190" s="19">
        <v>4</v>
      </c>
      <c r="U190" s="19">
        <v>10</v>
      </c>
      <c r="V190" s="19">
        <v>9</v>
      </c>
      <c r="W190" s="19">
        <v>12</v>
      </c>
      <c r="X190" s="19">
        <v>6</v>
      </c>
      <c r="Y190" s="19">
        <v>6</v>
      </c>
      <c r="Z190" s="19">
        <v>2</v>
      </c>
      <c r="AA190" s="19">
        <v>4</v>
      </c>
      <c r="AB190" s="19">
        <v>0</v>
      </c>
      <c r="AC190" s="23">
        <f>SUMPRODUCT(OG_Data!D$1:S$1, M190:AB190) /SUM(M190:AB190)</f>
        <v>9.6268656716417915</v>
      </c>
      <c r="AD190" s="19">
        <f t="shared" si="10"/>
        <v>67</v>
      </c>
      <c r="AE190" s="19">
        <v>0</v>
      </c>
      <c r="AF190" s="19">
        <v>4</v>
      </c>
      <c r="AG190">
        <v>25</v>
      </c>
      <c r="AH190">
        <f>Table3[[#This Row],[Flies_per_Vial]]*Table3[[#This Row],[Vials_Total_UsedInMaze]]</f>
        <v>100</v>
      </c>
      <c r="AI190">
        <f>Table3[[#This Row],[total_Flies]]/Table3[[#This Row],[flies_in]]</f>
        <v>0.67</v>
      </c>
      <c r="AJ190"/>
      <c r="AK190" s="32">
        <f t="shared" si="14"/>
        <v>18.166666666666664</v>
      </c>
      <c r="AL190" s="32">
        <f t="shared" si="13"/>
        <v>21.349999999999998</v>
      </c>
      <c r="AM190" s="32">
        <f>Table3[[#This Row],[end_time_num]]-Table3[[#This Row],[start_time_num]]</f>
        <v>3.1833333333333336</v>
      </c>
    </row>
    <row r="191" spans="1:40" s="19" customFormat="1" x14ac:dyDescent="0.35">
      <c r="A191" s="19">
        <v>11</v>
      </c>
      <c r="B191" s="19">
        <v>1</v>
      </c>
      <c r="C191" s="19" t="s">
        <v>154</v>
      </c>
      <c r="D191" s="19" t="s">
        <v>144</v>
      </c>
      <c r="E191" s="20">
        <v>0.39791666666666664</v>
      </c>
      <c r="F191" s="20">
        <v>0.52430555555555558</v>
      </c>
      <c r="G191" s="21">
        <v>0.12638888888888894</v>
      </c>
      <c r="H191" s="20" t="s">
        <v>136</v>
      </c>
      <c r="I191" s="19" t="s">
        <v>6</v>
      </c>
      <c r="J191" s="19">
        <v>1</v>
      </c>
      <c r="K191" s="19" t="s">
        <v>5</v>
      </c>
      <c r="L191" s="22" t="s">
        <v>3</v>
      </c>
      <c r="M191" s="19">
        <v>2</v>
      </c>
      <c r="N191" s="19">
        <v>4</v>
      </c>
      <c r="O191" s="19">
        <v>3</v>
      </c>
      <c r="P191" s="19">
        <v>1</v>
      </c>
      <c r="Q191" s="19">
        <v>3</v>
      </c>
      <c r="R191" s="19">
        <v>1</v>
      </c>
      <c r="S191" s="19">
        <v>2</v>
      </c>
      <c r="T191" s="19">
        <v>0</v>
      </c>
      <c r="U191" s="19">
        <v>3</v>
      </c>
      <c r="V191" s="19">
        <v>6</v>
      </c>
      <c r="W191" s="19">
        <v>11</v>
      </c>
      <c r="X191" s="19">
        <v>5</v>
      </c>
      <c r="Y191" s="19">
        <v>6</v>
      </c>
      <c r="Z191" s="19">
        <v>7</v>
      </c>
      <c r="AA191" s="19">
        <v>14</v>
      </c>
      <c r="AB191" s="19">
        <v>26</v>
      </c>
      <c r="AC191" s="23">
        <f>SUMPRODUCT(OG_Data!D$1:S$1, M191:AB191) /SUM(M191:AB191)</f>
        <v>12</v>
      </c>
      <c r="AD191" s="19">
        <f t="shared" ref="AD191:AD205" si="15">SUM(M191:AB191)</f>
        <v>94</v>
      </c>
      <c r="AE191" s="19">
        <v>0</v>
      </c>
      <c r="AF191" s="19">
        <v>6</v>
      </c>
      <c r="AG191" s="19">
        <v>25</v>
      </c>
      <c r="AH191" s="19">
        <f>Table3[[#This Row],[Flies_per_Vial]]*Table3[[#This Row],[Vials_Total_UsedInMaze]]</f>
        <v>150</v>
      </c>
      <c r="AI191" s="19">
        <f>Table3[[#This Row],[total_Flies]]/Table3[[#This Row],[flies_in]]</f>
        <v>0.62666666666666671</v>
      </c>
      <c r="AK191" s="32">
        <f t="shared" si="14"/>
        <v>9.5499999999999989</v>
      </c>
      <c r="AL191" s="32">
        <f t="shared" si="13"/>
        <v>12.583333333333334</v>
      </c>
      <c r="AM191" s="32">
        <f>Table3[[#This Row],[end_time_num]]-Table3[[#This Row],[start_time_num]]</f>
        <v>3.033333333333335</v>
      </c>
      <c r="AN191" s="19" t="s">
        <v>147</v>
      </c>
    </row>
    <row r="192" spans="1:40" s="19" customFormat="1" x14ac:dyDescent="0.35">
      <c r="A192" s="19">
        <v>11</v>
      </c>
      <c r="B192" s="19">
        <v>1</v>
      </c>
      <c r="C192" s="19" t="s">
        <v>154</v>
      </c>
      <c r="D192" s="19" t="s">
        <v>144</v>
      </c>
      <c r="E192" s="20">
        <v>0.39791666666666664</v>
      </c>
      <c r="F192" s="20">
        <v>0.53125</v>
      </c>
      <c r="G192" s="21">
        <v>0.13333333333333336</v>
      </c>
      <c r="H192" s="20" t="s">
        <v>136</v>
      </c>
      <c r="I192" s="19" t="s">
        <v>6</v>
      </c>
      <c r="J192" s="19">
        <v>1</v>
      </c>
      <c r="K192" s="19" t="s">
        <v>4</v>
      </c>
      <c r="L192" s="22" t="s">
        <v>0</v>
      </c>
      <c r="M192" s="19">
        <v>3</v>
      </c>
      <c r="N192" s="19">
        <v>0</v>
      </c>
      <c r="O192" s="19">
        <v>1</v>
      </c>
      <c r="P192" s="19">
        <v>1</v>
      </c>
      <c r="Q192" s="19">
        <v>1</v>
      </c>
      <c r="R192" s="19">
        <v>7</v>
      </c>
      <c r="S192" s="19">
        <v>10</v>
      </c>
      <c r="T192" s="19">
        <v>13</v>
      </c>
      <c r="U192" s="19">
        <v>9</v>
      </c>
      <c r="V192" s="19">
        <v>7</v>
      </c>
      <c r="W192" s="19">
        <v>4</v>
      </c>
      <c r="X192" s="19">
        <v>8</v>
      </c>
      <c r="Y192" s="19">
        <v>4</v>
      </c>
      <c r="Z192" s="19">
        <v>2</v>
      </c>
      <c r="AA192" s="19">
        <v>0</v>
      </c>
      <c r="AB192" s="19">
        <v>1</v>
      </c>
      <c r="AC192" s="23">
        <f>SUMPRODUCT(OG_Data!D$1:S$1, M192:AB192) /SUM(M192:AB192)</f>
        <v>8.704225352112676</v>
      </c>
      <c r="AD192" s="19">
        <f t="shared" si="15"/>
        <v>71</v>
      </c>
      <c r="AE192" s="19">
        <v>0</v>
      </c>
      <c r="AF192" s="19">
        <v>6</v>
      </c>
      <c r="AG192" s="19">
        <v>25</v>
      </c>
      <c r="AH192" s="19">
        <f>Table3[[#This Row],[Flies_per_Vial]]*Table3[[#This Row],[Vials_Total_UsedInMaze]]</f>
        <v>150</v>
      </c>
      <c r="AI192" s="19">
        <f>Table3[[#This Row],[total_Flies]]/Table3[[#This Row],[flies_in]]</f>
        <v>0.47333333333333333</v>
      </c>
      <c r="AK192" s="32">
        <f t="shared" si="14"/>
        <v>9.5499999999999989</v>
      </c>
      <c r="AL192" s="32">
        <f t="shared" si="13"/>
        <v>12.75</v>
      </c>
      <c r="AM192" s="32">
        <f>Table3[[#This Row],[end_time_num]]-Table3[[#This Row],[start_time_num]]</f>
        <v>3.2000000000000011</v>
      </c>
      <c r="AN192" s="19" t="s">
        <v>147</v>
      </c>
    </row>
    <row r="193" spans="1:40" s="19" customFormat="1" x14ac:dyDescent="0.35">
      <c r="A193" s="19">
        <v>11</v>
      </c>
      <c r="B193" s="19">
        <v>1</v>
      </c>
      <c r="C193" s="19" t="s">
        <v>154</v>
      </c>
      <c r="D193" s="19" t="s">
        <v>144</v>
      </c>
      <c r="E193" s="20">
        <v>0.39791666666666664</v>
      </c>
      <c r="F193" s="20">
        <v>0.54166666666666663</v>
      </c>
      <c r="G193" s="21">
        <v>0.14374999999999999</v>
      </c>
      <c r="H193" s="20" t="s">
        <v>136</v>
      </c>
      <c r="I193" s="19" t="s">
        <v>6</v>
      </c>
      <c r="J193" s="19">
        <v>1</v>
      </c>
      <c r="K193" s="19" t="s">
        <v>2</v>
      </c>
      <c r="L193" s="22" t="s">
        <v>0</v>
      </c>
      <c r="M193" s="19">
        <v>8</v>
      </c>
      <c r="N193" s="19">
        <v>12</v>
      </c>
      <c r="O193" s="19">
        <v>24</v>
      </c>
      <c r="P193" s="19">
        <v>1</v>
      </c>
      <c r="Q193" s="19">
        <v>6</v>
      </c>
      <c r="R193" s="19">
        <v>22</v>
      </c>
      <c r="S193" s="19">
        <v>4</v>
      </c>
      <c r="T193" s="19">
        <v>15</v>
      </c>
      <c r="U193" s="19">
        <v>16</v>
      </c>
      <c r="V193" s="19">
        <v>3</v>
      </c>
      <c r="W193" s="19">
        <v>8</v>
      </c>
      <c r="X193" s="19">
        <v>1</v>
      </c>
      <c r="Y193" s="19">
        <v>2</v>
      </c>
      <c r="Z193" s="19">
        <v>0</v>
      </c>
      <c r="AA193" s="19">
        <v>0</v>
      </c>
      <c r="AB193" s="19">
        <v>0</v>
      </c>
      <c r="AC193" s="23">
        <f>SUMPRODUCT(OG_Data!D$1:S$1, M193:AB193) /SUM(M193:AB193)</f>
        <v>5.8852459016393439</v>
      </c>
      <c r="AD193" s="19">
        <f t="shared" si="15"/>
        <v>122</v>
      </c>
      <c r="AE193" s="19">
        <v>0</v>
      </c>
      <c r="AF193" s="19">
        <v>6</v>
      </c>
      <c r="AG193" s="19">
        <v>25</v>
      </c>
      <c r="AH193" s="19">
        <f>Table3[[#This Row],[Flies_per_Vial]]*Table3[[#This Row],[Vials_Total_UsedInMaze]]</f>
        <v>150</v>
      </c>
      <c r="AI193" s="19">
        <f>Table3[[#This Row],[total_Flies]]/Table3[[#This Row],[flies_in]]</f>
        <v>0.81333333333333335</v>
      </c>
      <c r="AK193" s="32">
        <f t="shared" si="14"/>
        <v>9.5499999999999989</v>
      </c>
      <c r="AL193" s="32">
        <f t="shared" si="13"/>
        <v>13</v>
      </c>
      <c r="AM193" s="32">
        <f>Table3[[#This Row],[end_time_num]]-Table3[[#This Row],[start_time_num]]</f>
        <v>3.4500000000000011</v>
      </c>
      <c r="AN193" s="19" t="s">
        <v>147</v>
      </c>
    </row>
    <row r="194" spans="1:40" s="19" customFormat="1" x14ac:dyDescent="0.35">
      <c r="A194" s="19">
        <v>11</v>
      </c>
      <c r="B194" s="19">
        <v>1</v>
      </c>
      <c r="C194" s="19" t="s">
        <v>154</v>
      </c>
      <c r="D194" s="19" t="s">
        <v>144</v>
      </c>
      <c r="E194" s="20">
        <v>0.39791666666666664</v>
      </c>
      <c r="F194" s="20">
        <v>0.5625</v>
      </c>
      <c r="G194" s="21">
        <v>0.16458333333333336</v>
      </c>
      <c r="H194" s="20" t="s">
        <v>136</v>
      </c>
      <c r="I194" s="19" t="s">
        <v>6</v>
      </c>
      <c r="J194" s="19">
        <v>1</v>
      </c>
      <c r="K194" s="19" t="s">
        <v>1</v>
      </c>
      <c r="L194" s="22" t="s">
        <v>3</v>
      </c>
      <c r="M194" s="19">
        <v>3</v>
      </c>
      <c r="N194" s="19">
        <v>6</v>
      </c>
      <c r="O194" s="19">
        <v>9</v>
      </c>
      <c r="P194" s="19">
        <v>12</v>
      </c>
      <c r="Q194" s="19">
        <v>4</v>
      </c>
      <c r="R194" s="19">
        <v>13</v>
      </c>
      <c r="S194" s="19">
        <v>4</v>
      </c>
      <c r="T194" s="19">
        <v>10</v>
      </c>
      <c r="U194" s="19">
        <v>4</v>
      </c>
      <c r="V194" s="19">
        <v>0</v>
      </c>
      <c r="W194" s="19">
        <v>5</v>
      </c>
      <c r="X194" s="19">
        <v>3</v>
      </c>
      <c r="Y194" s="19">
        <v>2</v>
      </c>
      <c r="Z194" s="19">
        <v>4</v>
      </c>
      <c r="AA194" s="19">
        <v>1</v>
      </c>
      <c r="AB194" s="19">
        <v>0</v>
      </c>
      <c r="AC194" s="23">
        <f>SUMPRODUCT(OG_Data!D$1:S$1, M194:AB194) /SUM(M194:AB194)</f>
        <v>6.5</v>
      </c>
      <c r="AD194" s="19">
        <f t="shared" si="15"/>
        <v>80</v>
      </c>
      <c r="AE194" s="19">
        <v>0</v>
      </c>
      <c r="AF194" s="19">
        <v>6</v>
      </c>
      <c r="AG194" s="19">
        <v>25</v>
      </c>
      <c r="AH194" s="19">
        <f>Table3[[#This Row],[Flies_per_Vial]]*Table3[[#This Row],[Vials_Total_UsedInMaze]]</f>
        <v>150</v>
      </c>
      <c r="AI194" s="19">
        <f>Table3[[#This Row],[total_Flies]]/Table3[[#This Row],[flies_in]]</f>
        <v>0.53333333333333333</v>
      </c>
      <c r="AK194" s="32">
        <f t="shared" si="14"/>
        <v>9.5499999999999989</v>
      </c>
      <c r="AL194" s="32">
        <f t="shared" si="13"/>
        <v>13.5</v>
      </c>
      <c r="AM194" s="32">
        <f>Table3[[#This Row],[end_time_num]]-Table3[[#This Row],[start_time_num]]</f>
        <v>3.9500000000000011</v>
      </c>
      <c r="AN194" s="19" t="s">
        <v>147</v>
      </c>
    </row>
    <row r="195" spans="1:40" s="19" customFormat="1" x14ac:dyDescent="0.35">
      <c r="A195" s="19">
        <v>11</v>
      </c>
      <c r="B195" s="19">
        <v>1</v>
      </c>
      <c r="C195" s="19" t="s">
        <v>155</v>
      </c>
      <c r="D195" s="19" t="s">
        <v>144</v>
      </c>
      <c r="E195" s="20">
        <v>0.58680555555555558</v>
      </c>
      <c r="F195" s="20">
        <v>0.77569444444444446</v>
      </c>
      <c r="G195" s="21">
        <v>0.18888888888888888</v>
      </c>
      <c r="H195" s="20" t="s">
        <v>142</v>
      </c>
      <c r="I195" s="19" t="s">
        <v>6</v>
      </c>
      <c r="J195" s="19">
        <v>2</v>
      </c>
      <c r="K195" s="19" t="s">
        <v>5</v>
      </c>
      <c r="L195" s="22" t="s">
        <v>3</v>
      </c>
      <c r="M195" s="19">
        <v>2</v>
      </c>
      <c r="N195" s="19">
        <v>5</v>
      </c>
      <c r="O195" s="19">
        <v>1</v>
      </c>
      <c r="P195" s="19">
        <v>0</v>
      </c>
      <c r="Q195" s="19">
        <v>5</v>
      </c>
      <c r="R195" s="19">
        <v>3</v>
      </c>
      <c r="S195" s="19">
        <v>3</v>
      </c>
      <c r="T195" s="19">
        <v>5</v>
      </c>
      <c r="U195" s="19">
        <v>9</v>
      </c>
      <c r="V195" s="19">
        <v>11</v>
      </c>
      <c r="W195" s="19">
        <v>6</v>
      </c>
      <c r="X195" s="19">
        <v>5</v>
      </c>
      <c r="Y195" s="19">
        <v>12</v>
      </c>
      <c r="Z195" s="19">
        <v>9</v>
      </c>
      <c r="AA195" s="19">
        <v>12</v>
      </c>
      <c r="AB195" s="19">
        <v>32</v>
      </c>
      <c r="AC195" s="23">
        <f>SUMPRODUCT(OG_Data!D$1:S$1, M195:AB195) /SUM(M195:AB195)</f>
        <v>11.75</v>
      </c>
      <c r="AD195" s="19">
        <f t="shared" si="15"/>
        <v>120</v>
      </c>
      <c r="AE195" s="19">
        <v>0</v>
      </c>
      <c r="AF195" s="19">
        <v>6</v>
      </c>
      <c r="AG195" s="19">
        <v>25</v>
      </c>
      <c r="AH195" s="19">
        <f>Table3[[#This Row],[Flies_per_Vial]]*Table3[[#This Row],[Vials_Total_UsedInMaze]]</f>
        <v>150</v>
      </c>
      <c r="AI195" s="19">
        <f>Table3[[#This Row],[total_Flies]]/Table3[[#This Row],[flies_in]]</f>
        <v>0.8</v>
      </c>
      <c r="AK195" s="32">
        <f t="shared" si="14"/>
        <v>14.083333333333334</v>
      </c>
      <c r="AL195" s="32">
        <f t="shared" si="13"/>
        <v>18.616666666666667</v>
      </c>
      <c r="AM195" s="32">
        <f>Table3[[#This Row],[end_time_num]]-Table3[[#This Row],[start_time_num]]</f>
        <v>4.5333333333333332</v>
      </c>
      <c r="AN195" s="19" t="s">
        <v>148</v>
      </c>
    </row>
    <row r="196" spans="1:40" s="19" customFormat="1" x14ac:dyDescent="0.35">
      <c r="A196" s="19">
        <v>11</v>
      </c>
      <c r="B196" s="19">
        <v>1</v>
      </c>
      <c r="C196" s="19" t="s">
        <v>155</v>
      </c>
      <c r="D196" s="19" t="s">
        <v>144</v>
      </c>
      <c r="E196" s="20">
        <v>0.58680555555555558</v>
      </c>
      <c r="F196" s="20">
        <v>0.78194444444444444</v>
      </c>
      <c r="G196" s="21">
        <v>0.19513888888888886</v>
      </c>
      <c r="H196" s="20" t="s">
        <v>142</v>
      </c>
      <c r="I196" s="19" t="s">
        <v>6</v>
      </c>
      <c r="J196" s="19">
        <v>2</v>
      </c>
      <c r="K196" s="19" t="s">
        <v>4</v>
      </c>
      <c r="L196" s="22" t="s">
        <v>0</v>
      </c>
      <c r="M196" s="19">
        <v>5</v>
      </c>
      <c r="N196" s="19">
        <v>4</v>
      </c>
      <c r="O196" s="19">
        <v>1</v>
      </c>
      <c r="P196" s="19">
        <v>1</v>
      </c>
      <c r="Q196" s="19">
        <v>5</v>
      </c>
      <c r="R196" s="19">
        <v>5</v>
      </c>
      <c r="S196" s="19">
        <v>7</v>
      </c>
      <c r="T196" s="19">
        <v>9</v>
      </c>
      <c r="U196" s="19">
        <v>14</v>
      </c>
      <c r="V196" s="19">
        <v>8</v>
      </c>
      <c r="W196" s="19">
        <v>10</v>
      </c>
      <c r="X196" s="19">
        <v>5</v>
      </c>
      <c r="Y196" s="19">
        <v>6</v>
      </c>
      <c r="Z196" s="19">
        <v>6</v>
      </c>
      <c r="AA196" s="19">
        <v>13</v>
      </c>
      <c r="AB196" s="19">
        <v>3</v>
      </c>
      <c r="AC196" s="23">
        <f>SUMPRODUCT(OG_Data!D$1:S$1, M196:AB196) /SUM(M196:AB196)</f>
        <v>9.5784313725490193</v>
      </c>
      <c r="AD196" s="19">
        <f t="shared" si="15"/>
        <v>102</v>
      </c>
      <c r="AE196" s="19">
        <v>0</v>
      </c>
      <c r="AF196" s="19">
        <v>4</v>
      </c>
      <c r="AG196" s="19">
        <v>25</v>
      </c>
      <c r="AH196" s="19">
        <f>Table3[[#This Row],[Flies_per_Vial]]*Table3[[#This Row],[Vials_Total_UsedInMaze]]</f>
        <v>100</v>
      </c>
      <c r="AI196" s="19">
        <f>Table3[[#This Row],[total_Flies]]/Table3[[#This Row],[flies_in]]</f>
        <v>1.02</v>
      </c>
      <c r="AK196" s="32">
        <f t="shared" si="14"/>
        <v>14.083333333333334</v>
      </c>
      <c r="AL196" s="32">
        <f t="shared" si="13"/>
        <v>18.766666666666666</v>
      </c>
      <c r="AM196" s="32">
        <f>Table3[[#This Row],[end_time_num]]-Table3[[#This Row],[start_time_num]]</f>
        <v>4.6833333333333318</v>
      </c>
      <c r="AN196" s="19" t="s">
        <v>148</v>
      </c>
    </row>
    <row r="197" spans="1:40" s="19" customFormat="1" x14ac:dyDescent="0.35">
      <c r="A197" s="19">
        <v>11</v>
      </c>
      <c r="B197" s="19">
        <v>1</v>
      </c>
      <c r="C197" s="19" t="s">
        <v>155</v>
      </c>
      <c r="D197" s="19" t="s">
        <v>144</v>
      </c>
      <c r="E197" s="20">
        <v>0.58680555555555558</v>
      </c>
      <c r="F197" s="20">
        <v>0.79166666666666663</v>
      </c>
      <c r="G197" s="21">
        <v>0.20486111111111105</v>
      </c>
      <c r="H197" s="20" t="s">
        <v>142</v>
      </c>
      <c r="I197" s="19" t="s">
        <v>6</v>
      </c>
      <c r="J197" s="19">
        <v>2</v>
      </c>
      <c r="K197" s="19" t="s">
        <v>2</v>
      </c>
      <c r="L197" s="22" t="s">
        <v>0</v>
      </c>
      <c r="M197" s="19">
        <v>5</v>
      </c>
      <c r="N197" s="19">
        <v>8</v>
      </c>
      <c r="O197" s="19">
        <v>12</v>
      </c>
      <c r="P197" s="19">
        <v>2</v>
      </c>
      <c r="Q197" s="19">
        <v>4</v>
      </c>
      <c r="R197" s="19">
        <v>13</v>
      </c>
      <c r="S197" s="19">
        <v>3</v>
      </c>
      <c r="T197" s="19">
        <v>8</v>
      </c>
      <c r="U197" s="19">
        <v>15</v>
      </c>
      <c r="V197" s="19">
        <v>7</v>
      </c>
      <c r="W197" s="19">
        <v>3</v>
      </c>
      <c r="X197" s="19">
        <v>0</v>
      </c>
      <c r="Y197" s="19">
        <v>3</v>
      </c>
      <c r="Z197" s="19">
        <v>0</v>
      </c>
      <c r="AA197" s="19">
        <v>1</v>
      </c>
      <c r="AB197" s="19">
        <v>0</v>
      </c>
      <c r="AC197" s="23">
        <f>SUMPRODUCT(OG_Data!D$1:S$1, M197:AB197) /SUM(M197:AB197)</f>
        <v>6.4285714285714288</v>
      </c>
      <c r="AD197" s="19">
        <f t="shared" si="15"/>
        <v>84</v>
      </c>
      <c r="AE197" s="19">
        <v>0</v>
      </c>
      <c r="AF197" s="19">
        <v>4</v>
      </c>
      <c r="AG197" s="19">
        <v>25</v>
      </c>
      <c r="AH197" s="19">
        <f>Table3[[#This Row],[Flies_per_Vial]]*Table3[[#This Row],[Vials_Total_UsedInMaze]]</f>
        <v>100</v>
      </c>
      <c r="AI197" s="19">
        <f>Table3[[#This Row],[total_Flies]]/Table3[[#This Row],[flies_in]]</f>
        <v>0.84</v>
      </c>
      <c r="AK197" s="32">
        <f t="shared" si="14"/>
        <v>14.083333333333334</v>
      </c>
      <c r="AL197" s="32">
        <f t="shared" si="13"/>
        <v>19</v>
      </c>
      <c r="AM197" s="32">
        <f>Table3[[#This Row],[end_time_num]]-Table3[[#This Row],[start_time_num]]</f>
        <v>4.9166666666666661</v>
      </c>
      <c r="AN197" s="19" t="s">
        <v>148</v>
      </c>
    </row>
    <row r="198" spans="1:40" s="19" customFormat="1" x14ac:dyDescent="0.35">
      <c r="A198" s="19">
        <v>11</v>
      </c>
      <c r="B198" s="19">
        <v>1</v>
      </c>
      <c r="C198" s="19" t="s">
        <v>155</v>
      </c>
      <c r="D198" s="19" t="s">
        <v>144</v>
      </c>
      <c r="E198" s="20">
        <v>0.58680555555555558</v>
      </c>
      <c r="F198" s="20">
        <v>0.79861111111111116</v>
      </c>
      <c r="G198" s="21">
        <v>0.21180555555555558</v>
      </c>
      <c r="H198" s="20" t="s">
        <v>142</v>
      </c>
      <c r="I198" s="19" t="s">
        <v>6</v>
      </c>
      <c r="J198" s="19">
        <v>2</v>
      </c>
      <c r="K198" s="19" t="s">
        <v>1</v>
      </c>
      <c r="L198" s="22" t="s">
        <v>3</v>
      </c>
      <c r="M198" s="19">
        <v>12</v>
      </c>
      <c r="N198" s="19">
        <v>12</v>
      </c>
      <c r="O198" s="19">
        <v>12</v>
      </c>
      <c r="P198" s="19">
        <v>16</v>
      </c>
      <c r="Q198" s="19">
        <v>12</v>
      </c>
      <c r="R198" s="19">
        <v>12</v>
      </c>
      <c r="S198" s="19">
        <v>4</v>
      </c>
      <c r="T198" s="19">
        <v>2</v>
      </c>
      <c r="U198" s="19">
        <v>2</v>
      </c>
      <c r="V198" s="19">
        <v>0</v>
      </c>
      <c r="W198" s="19">
        <v>3</v>
      </c>
      <c r="X198" s="19">
        <v>2</v>
      </c>
      <c r="Y198" s="19">
        <v>1</v>
      </c>
      <c r="Z198" s="19">
        <v>0</v>
      </c>
      <c r="AA198" s="19">
        <v>0</v>
      </c>
      <c r="AB198" s="19">
        <v>0</v>
      </c>
      <c r="AC198" s="23">
        <f>SUMPRODUCT(OG_Data!D$1:S$1, M198:AB198) /SUM(M198:AB198)</f>
        <v>4.4444444444444446</v>
      </c>
      <c r="AD198" s="19">
        <f t="shared" si="15"/>
        <v>90</v>
      </c>
      <c r="AE198" s="19">
        <v>0</v>
      </c>
      <c r="AF198" s="19">
        <v>6</v>
      </c>
      <c r="AG198" s="19">
        <v>25</v>
      </c>
      <c r="AH198" s="19">
        <f>Table3[[#This Row],[Flies_per_Vial]]*Table3[[#This Row],[Vials_Total_UsedInMaze]]</f>
        <v>150</v>
      </c>
      <c r="AI198" s="19">
        <f>Table3[[#This Row],[total_Flies]]/Table3[[#This Row],[flies_in]]</f>
        <v>0.6</v>
      </c>
      <c r="AK198" s="32">
        <f t="shared" si="14"/>
        <v>14.083333333333334</v>
      </c>
      <c r="AL198" s="32">
        <f t="shared" si="13"/>
        <v>19.166666666666668</v>
      </c>
      <c r="AM198" s="32">
        <f>Table3[[#This Row],[end_time_num]]-Table3[[#This Row],[start_time_num]]</f>
        <v>5.0833333333333339</v>
      </c>
      <c r="AN198" s="19" t="s">
        <v>148</v>
      </c>
    </row>
    <row r="199" spans="1:40" x14ac:dyDescent="0.35">
      <c r="A199" s="19">
        <v>11</v>
      </c>
      <c r="B199">
        <v>2</v>
      </c>
      <c r="C199" t="s">
        <v>154</v>
      </c>
      <c r="D199" t="s">
        <v>145</v>
      </c>
      <c r="E199" s="2">
        <v>0.38541666666666669</v>
      </c>
      <c r="F199" s="2">
        <v>0.52083333333333337</v>
      </c>
      <c r="G199" s="13">
        <v>0.13541666666666669</v>
      </c>
      <c r="H199" s="20" t="s">
        <v>136</v>
      </c>
      <c r="I199" s="19" t="s">
        <v>6</v>
      </c>
      <c r="J199">
        <v>3</v>
      </c>
      <c r="K199" s="19" t="s">
        <v>5</v>
      </c>
      <c r="L199" s="22" t="s">
        <v>3</v>
      </c>
      <c r="M199">
        <v>4</v>
      </c>
      <c r="N199">
        <v>1</v>
      </c>
      <c r="O199">
        <v>4</v>
      </c>
      <c r="P199">
        <v>4</v>
      </c>
      <c r="Q199">
        <v>12</v>
      </c>
      <c r="R199">
        <v>6</v>
      </c>
      <c r="S199">
        <v>3</v>
      </c>
      <c r="T199">
        <v>5</v>
      </c>
      <c r="U199">
        <v>16</v>
      </c>
      <c r="V199">
        <v>20</v>
      </c>
      <c r="W199">
        <v>8</v>
      </c>
      <c r="X199">
        <v>5</v>
      </c>
      <c r="Y199">
        <v>2</v>
      </c>
      <c r="Z199">
        <v>2</v>
      </c>
      <c r="AA199">
        <v>2</v>
      </c>
      <c r="AB199">
        <v>3</v>
      </c>
      <c r="AC199" s="18">
        <f>SUMPRODUCT(OG_Data!D$1:S$1, M199:AB199) /SUM(M199:AB199)</f>
        <v>8.4020618556701034</v>
      </c>
      <c r="AD199">
        <f t="shared" si="15"/>
        <v>97</v>
      </c>
      <c r="AE199">
        <v>0</v>
      </c>
      <c r="AF199">
        <v>6</v>
      </c>
      <c r="AG199">
        <v>20</v>
      </c>
      <c r="AH199">
        <f>Table3[[#This Row],[Flies_per_Vial]]*Table3[[#This Row],[Vials_Total_UsedInMaze]]</f>
        <v>120</v>
      </c>
      <c r="AI199">
        <f>Table3[[#This Row],[total_Flies]]/Table3[[#This Row],[flies_in]]</f>
        <v>0.80833333333333335</v>
      </c>
      <c r="AJ199"/>
      <c r="AK199" s="31">
        <f t="shared" si="14"/>
        <v>9.25</v>
      </c>
      <c r="AL199" s="31">
        <f t="shared" ref="AL199:AL205" si="16">24*F199</f>
        <v>12.5</v>
      </c>
      <c r="AM199" s="31">
        <f>Table3[[#This Row],[end_time_num]]-Table3[[#This Row],[start_time_num]]</f>
        <v>3.25</v>
      </c>
      <c r="AN199" t="s">
        <v>147</v>
      </c>
    </row>
    <row r="200" spans="1:40" x14ac:dyDescent="0.35">
      <c r="A200" s="19">
        <v>11</v>
      </c>
      <c r="B200">
        <v>2</v>
      </c>
      <c r="C200" t="s">
        <v>154</v>
      </c>
      <c r="D200" t="s">
        <v>145</v>
      </c>
      <c r="E200" s="2">
        <v>0.38541666666666669</v>
      </c>
      <c r="F200" s="2">
        <v>0.52847222222222223</v>
      </c>
      <c r="G200" s="13">
        <v>0.14305555555555555</v>
      </c>
      <c r="H200" s="20" t="s">
        <v>136</v>
      </c>
      <c r="I200" s="19" t="s">
        <v>6</v>
      </c>
      <c r="J200">
        <v>3</v>
      </c>
      <c r="K200" s="19" t="s">
        <v>4</v>
      </c>
      <c r="L200" s="22" t="s">
        <v>0</v>
      </c>
      <c r="M200">
        <v>5</v>
      </c>
      <c r="N200">
        <v>4</v>
      </c>
      <c r="O200">
        <v>4</v>
      </c>
      <c r="P200">
        <v>0</v>
      </c>
      <c r="Q200">
        <v>3</v>
      </c>
      <c r="R200">
        <v>6</v>
      </c>
      <c r="S200">
        <v>5</v>
      </c>
      <c r="T200">
        <v>4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1</v>
      </c>
      <c r="AA200">
        <v>0</v>
      </c>
      <c r="AB200">
        <v>1</v>
      </c>
      <c r="AC200" s="18">
        <f>SUMPRODUCT(OG_Data!D$1:S$1, M200:AB200) /SUM(M200:AB200)</f>
        <v>6.5813953488372094</v>
      </c>
      <c r="AD200">
        <f t="shared" si="15"/>
        <v>43</v>
      </c>
      <c r="AE200">
        <v>0</v>
      </c>
      <c r="AF200">
        <v>6</v>
      </c>
      <c r="AG200">
        <v>20</v>
      </c>
      <c r="AH200">
        <f>Table3[[#This Row],[Flies_per_Vial]]*Table3[[#This Row],[Vials_Total_UsedInMaze]]</f>
        <v>120</v>
      </c>
      <c r="AI200">
        <f>Table3[[#This Row],[total_Flies]]/Table3[[#This Row],[flies_in]]</f>
        <v>0.35833333333333334</v>
      </c>
      <c r="AJ200"/>
      <c r="AK200" s="31">
        <f t="shared" si="14"/>
        <v>9.25</v>
      </c>
      <c r="AL200" s="31">
        <f t="shared" si="16"/>
        <v>12.683333333333334</v>
      </c>
      <c r="AM200" s="31">
        <f>Table3[[#This Row],[end_time_num]]-Table3[[#This Row],[start_time_num]]</f>
        <v>3.4333333333333336</v>
      </c>
      <c r="AN200" t="s">
        <v>147</v>
      </c>
    </row>
    <row r="201" spans="1:40" x14ac:dyDescent="0.35">
      <c r="A201" s="19">
        <v>11</v>
      </c>
      <c r="B201">
        <v>2</v>
      </c>
      <c r="C201" t="s">
        <v>154</v>
      </c>
      <c r="D201" t="s">
        <v>145</v>
      </c>
      <c r="E201" s="2">
        <v>0.38541666666666669</v>
      </c>
      <c r="F201" s="2">
        <v>0.53472222222222221</v>
      </c>
      <c r="G201" s="13">
        <v>0.14930555555555552</v>
      </c>
      <c r="H201" s="20" t="s">
        <v>136</v>
      </c>
      <c r="I201" s="19" t="s">
        <v>6</v>
      </c>
      <c r="J201">
        <v>3</v>
      </c>
      <c r="K201" s="19" t="s">
        <v>2</v>
      </c>
      <c r="L201" s="22" t="s">
        <v>0</v>
      </c>
      <c r="M201">
        <v>14</v>
      </c>
      <c r="N201">
        <v>16</v>
      </c>
      <c r="O201">
        <v>17</v>
      </c>
      <c r="P201">
        <v>3</v>
      </c>
      <c r="Q201">
        <v>0</v>
      </c>
      <c r="R201">
        <v>9</v>
      </c>
      <c r="S201">
        <v>8</v>
      </c>
      <c r="T201">
        <v>11</v>
      </c>
      <c r="U201">
        <v>2</v>
      </c>
      <c r="V201">
        <v>0</v>
      </c>
      <c r="W201">
        <v>4</v>
      </c>
      <c r="X201">
        <v>0</v>
      </c>
      <c r="Y201">
        <v>2</v>
      </c>
      <c r="Z201">
        <v>1</v>
      </c>
      <c r="AA201">
        <v>1</v>
      </c>
      <c r="AB201">
        <v>0</v>
      </c>
      <c r="AC201" s="18">
        <f>SUMPRODUCT(OG_Data!D$1:S$1, M201:AB201) /SUM(M201:AB201)</f>
        <v>4.8181818181818183</v>
      </c>
      <c r="AD201">
        <f t="shared" si="15"/>
        <v>88</v>
      </c>
      <c r="AE201">
        <v>0</v>
      </c>
      <c r="AF201">
        <v>6</v>
      </c>
      <c r="AG201">
        <v>20</v>
      </c>
      <c r="AH201">
        <f>Table3[[#This Row],[Flies_per_Vial]]*Table3[[#This Row],[Vials_Total_UsedInMaze]]</f>
        <v>120</v>
      </c>
      <c r="AI201">
        <f>Table3[[#This Row],[total_Flies]]/Table3[[#This Row],[flies_in]]</f>
        <v>0.73333333333333328</v>
      </c>
      <c r="AJ201"/>
      <c r="AK201" s="31">
        <f t="shared" si="14"/>
        <v>9.25</v>
      </c>
      <c r="AL201" s="31">
        <f t="shared" si="16"/>
        <v>12.833333333333332</v>
      </c>
      <c r="AM201" s="31">
        <f>Table3[[#This Row],[end_time_num]]-Table3[[#This Row],[start_time_num]]</f>
        <v>3.5833333333333321</v>
      </c>
      <c r="AN201" t="s">
        <v>147</v>
      </c>
    </row>
    <row r="202" spans="1:40" x14ac:dyDescent="0.35">
      <c r="A202" s="19">
        <v>11</v>
      </c>
      <c r="B202">
        <v>2</v>
      </c>
      <c r="C202" t="s">
        <v>154</v>
      </c>
      <c r="D202" t="s">
        <v>145</v>
      </c>
      <c r="E202" s="2">
        <v>0.38541666666666669</v>
      </c>
      <c r="F202" s="2">
        <v>0.54166666666666663</v>
      </c>
      <c r="G202" s="13">
        <v>0.15624999999999994</v>
      </c>
      <c r="H202" s="20" t="s">
        <v>136</v>
      </c>
      <c r="I202" s="19" t="s">
        <v>6</v>
      </c>
      <c r="J202">
        <v>3</v>
      </c>
      <c r="K202" s="19" t="s">
        <v>1</v>
      </c>
      <c r="L202" s="22" t="s">
        <v>3</v>
      </c>
      <c r="M202">
        <v>6</v>
      </c>
      <c r="N202">
        <v>6</v>
      </c>
      <c r="O202">
        <v>5</v>
      </c>
      <c r="P202">
        <v>8</v>
      </c>
      <c r="Q202">
        <v>14</v>
      </c>
      <c r="R202">
        <v>5</v>
      </c>
      <c r="S202">
        <v>1</v>
      </c>
      <c r="T202">
        <v>2</v>
      </c>
      <c r="U202">
        <v>4</v>
      </c>
      <c r="V202">
        <v>0</v>
      </c>
      <c r="W202">
        <v>1</v>
      </c>
      <c r="X202">
        <v>5</v>
      </c>
      <c r="Y202">
        <v>3</v>
      </c>
      <c r="Z202">
        <v>2</v>
      </c>
      <c r="AA202">
        <v>1</v>
      </c>
      <c r="AB202">
        <v>1</v>
      </c>
      <c r="AC202" s="18">
        <f>SUMPRODUCT(OG_Data!D$1:S$1, M202:AB202) /SUM(M202:AB202)</f>
        <v>6.140625</v>
      </c>
      <c r="AD202">
        <f t="shared" si="15"/>
        <v>64</v>
      </c>
      <c r="AE202">
        <v>0</v>
      </c>
      <c r="AF202">
        <v>6</v>
      </c>
      <c r="AG202">
        <v>20</v>
      </c>
      <c r="AH202">
        <f>Table3[[#This Row],[Flies_per_Vial]]*Table3[[#This Row],[Vials_Total_UsedInMaze]]</f>
        <v>120</v>
      </c>
      <c r="AI202">
        <f>Table3[[#This Row],[total_Flies]]/Table3[[#This Row],[flies_in]]</f>
        <v>0.53333333333333333</v>
      </c>
      <c r="AJ202"/>
      <c r="AK202" s="31">
        <f t="shared" si="14"/>
        <v>9.25</v>
      </c>
      <c r="AL202" s="31">
        <f t="shared" si="16"/>
        <v>13</v>
      </c>
      <c r="AM202" s="31">
        <f>Table3[[#This Row],[end_time_num]]-Table3[[#This Row],[start_time_num]]</f>
        <v>3.75</v>
      </c>
      <c r="AN202" t="s">
        <v>147</v>
      </c>
    </row>
    <row r="203" spans="1:40" x14ac:dyDescent="0.35">
      <c r="A203" s="19">
        <v>11</v>
      </c>
      <c r="B203">
        <v>2</v>
      </c>
      <c r="C203" t="s">
        <v>155</v>
      </c>
      <c r="D203" t="s">
        <v>145</v>
      </c>
      <c r="E203" s="2">
        <v>0.55902777777777779</v>
      </c>
      <c r="F203" s="2">
        <v>0.68611111111111112</v>
      </c>
      <c r="G203" s="13">
        <v>0.12708333333333333</v>
      </c>
      <c r="H203" s="20" t="s">
        <v>142</v>
      </c>
      <c r="I203" s="19" t="s">
        <v>6</v>
      </c>
      <c r="J203">
        <v>4</v>
      </c>
      <c r="K203" s="19" t="s">
        <v>5</v>
      </c>
      <c r="L203" s="22" t="s">
        <v>3</v>
      </c>
      <c r="M203">
        <v>0</v>
      </c>
      <c r="N203">
        <v>2</v>
      </c>
      <c r="O203">
        <v>2</v>
      </c>
      <c r="P203">
        <v>4</v>
      </c>
      <c r="Q203">
        <v>14</v>
      </c>
      <c r="R203">
        <v>10</v>
      </c>
      <c r="S203">
        <v>9</v>
      </c>
      <c r="T203">
        <v>10</v>
      </c>
      <c r="U203">
        <v>2</v>
      </c>
      <c r="V203">
        <v>5</v>
      </c>
      <c r="W203">
        <v>4</v>
      </c>
      <c r="X203">
        <v>0</v>
      </c>
      <c r="Y203">
        <v>3</v>
      </c>
      <c r="Z203">
        <v>0</v>
      </c>
      <c r="AA203">
        <v>8</v>
      </c>
      <c r="AB203">
        <v>1</v>
      </c>
      <c r="AC203" s="18">
        <f>SUMPRODUCT(OG_Data!D$1:S$1, M203:AB203) /SUM(M203:AB203)</f>
        <v>7.9189189189189193</v>
      </c>
      <c r="AD203">
        <f t="shared" si="15"/>
        <v>74</v>
      </c>
      <c r="AE203">
        <v>0</v>
      </c>
      <c r="AF203">
        <v>5</v>
      </c>
      <c r="AG203" s="19">
        <v>25</v>
      </c>
      <c r="AH203" s="19">
        <f>Table3[[#This Row],[Flies_per_Vial]]*Table3[[#This Row],[Vials_Total_UsedInMaze]]</f>
        <v>125</v>
      </c>
      <c r="AI203" s="19">
        <f>Table3[[#This Row],[total_Flies]]/Table3[[#This Row],[flies_in]]</f>
        <v>0.59199999999999997</v>
      </c>
      <c r="AJ203" s="19"/>
      <c r="AK203" s="31">
        <f t="shared" si="14"/>
        <v>13.416666666666668</v>
      </c>
      <c r="AL203" s="31">
        <f t="shared" si="16"/>
        <v>16.466666666666669</v>
      </c>
      <c r="AM203" s="31">
        <f>Table3[[#This Row],[end_time_num]]-Table3[[#This Row],[start_time_num]]</f>
        <v>3.0500000000000007</v>
      </c>
      <c r="AN203" t="s">
        <v>147</v>
      </c>
    </row>
    <row r="204" spans="1:40" x14ac:dyDescent="0.35">
      <c r="A204" s="19">
        <v>11</v>
      </c>
      <c r="B204">
        <v>2</v>
      </c>
      <c r="C204" t="s">
        <v>155</v>
      </c>
      <c r="D204" t="s">
        <v>145</v>
      </c>
      <c r="E204" s="2">
        <v>0.55902777777777779</v>
      </c>
      <c r="F204" s="2">
        <v>0.69166666666666665</v>
      </c>
      <c r="G204" s="13">
        <v>0.13263888888888886</v>
      </c>
      <c r="H204" s="20" t="s">
        <v>142</v>
      </c>
      <c r="I204" s="19" t="s">
        <v>6</v>
      </c>
      <c r="J204">
        <v>4</v>
      </c>
      <c r="K204" s="19" t="s">
        <v>4</v>
      </c>
      <c r="L204" s="22" t="s">
        <v>0</v>
      </c>
      <c r="M204">
        <v>11</v>
      </c>
      <c r="N204">
        <v>6</v>
      </c>
      <c r="O204">
        <v>9</v>
      </c>
      <c r="P204">
        <v>4</v>
      </c>
      <c r="Q204">
        <v>6</v>
      </c>
      <c r="R204">
        <v>10</v>
      </c>
      <c r="S204">
        <v>16</v>
      </c>
      <c r="T204">
        <v>12</v>
      </c>
      <c r="U204">
        <v>8</v>
      </c>
      <c r="V204">
        <v>2</v>
      </c>
      <c r="W204">
        <v>5</v>
      </c>
      <c r="X204">
        <v>1</v>
      </c>
      <c r="Y204">
        <v>0</v>
      </c>
      <c r="Z204">
        <v>0</v>
      </c>
      <c r="AA204">
        <v>0</v>
      </c>
      <c r="AB204">
        <v>0</v>
      </c>
      <c r="AC204" s="18">
        <f>SUMPRODUCT(OG_Data!D$1:S$1, M204:AB204) /SUM(M204:AB204)</f>
        <v>5.8111111111111109</v>
      </c>
      <c r="AD204">
        <f t="shared" si="15"/>
        <v>90</v>
      </c>
      <c r="AE204">
        <v>0</v>
      </c>
      <c r="AF204">
        <v>4</v>
      </c>
      <c r="AG204" s="19">
        <v>25</v>
      </c>
      <c r="AH204" s="19">
        <f>Table3[[#This Row],[Flies_per_Vial]]*Table3[[#This Row],[Vials_Total_UsedInMaze]]</f>
        <v>100</v>
      </c>
      <c r="AI204" s="19">
        <f>Table3[[#This Row],[total_Flies]]/Table3[[#This Row],[flies_in]]</f>
        <v>0.9</v>
      </c>
      <c r="AJ204" s="19"/>
      <c r="AK204" s="31">
        <f t="shared" si="14"/>
        <v>13.416666666666668</v>
      </c>
      <c r="AL204" s="31">
        <f t="shared" si="16"/>
        <v>16.600000000000001</v>
      </c>
      <c r="AM204" s="31">
        <f>Table3[[#This Row],[end_time_num]]-Table3[[#This Row],[start_time_num]]</f>
        <v>3.1833333333333336</v>
      </c>
      <c r="AN204" t="s">
        <v>147</v>
      </c>
    </row>
    <row r="205" spans="1:40" x14ac:dyDescent="0.35">
      <c r="A205" s="19">
        <v>11</v>
      </c>
      <c r="B205">
        <v>2</v>
      </c>
      <c r="C205" t="s">
        <v>155</v>
      </c>
      <c r="D205" t="s">
        <v>145</v>
      </c>
      <c r="E205" s="2">
        <v>0.55902777777777779</v>
      </c>
      <c r="F205" s="2">
        <v>0.69791666666666663</v>
      </c>
      <c r="G205" s="13">
        <v>0.13888888888888884</v>
      </c>
      <c r="H205" s="20" t="s">
        <v>142</v>
      </c>
      <c r="I205" s="19" t="s">
        <v>6</v>
      </c>
      <c r="J205">
        <v>4</v>
      </c>
      <c r="K205" s="19" t="s">
        <v>2</v>
      </c>
      <c r="L205" s="22" t="s">
        <v>0</v>
      </c>
      <c r="M205">
        <v>8</v>
      </c>
      <c r="N205">
        <v>12</v>
      </c>
      <c r="O205">
        <v>18</v>
      </c>
      <c r="P205">
        <v>10</v>
      </c>
      <c r="Q205">
        <v>8</v>
      </c>
      <c r="R205">
        <v>13</v>
      </c>
      <c r="S205">
        <v>4</v>
      </c>
      <c r="T205">
        <v>6</v>
      </c>
      <c r="U205">
        <v>7</v>
      </c>
      <c r="V205">
        <v>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s="18">
        <f>SUMPRODUCT(OG_Data!D$1:S$1, M205:AB205) /SUM(M205:AB205)</f>
        <v>4.7</v>
      </c>
      <c r="AD205">
        <f t="shared" si="15"/>
        <v>90</v>
      </c>
      <c r="AE205">
        <v>0</v>
      </c>
      <c r="AF205">
        <v>5</v>
      </c>
      <c r="AG205" s="19">
        <v>25</v>
      </c>
      <c r="AH205" s="19">
        <f>Table3[[#This Row],[Flies_per_Vial]]*Table3[[#This Row],[Vials_Total_UsedInMaze]]</f>
        <v>125</v>
      </c>
      <c r="AI205" s="19">
        <f>Table3[[#This Row],[total_Flies]]/Table3[[#This Row],[flies_in]]</f>
        <v>0.72</v>
      </c>
      <c r="AJ205" s="19"/>
      <c r="AK205" s="31">
        <f t="shared" si="14"/>
        <v>13.416666666666668</v>
      </c>
      <c r="AL205" s="31">
        <f t="shared" si="16"/>
        <v>16.75</v>
      </c>
      <c r="AM205" s="31">
        <f>Table3[[#This Row],[end_time_num]]-Table3[[#This Row],[start_time_num]]</f>
        <v>3.3333333333333321</v>
      </c>
      <c r="AN205" t="s">
        <v>147</v>
      </c>
    </row>
    <row r="206" spans="1:40" x14ac:dyDescent="0.35">
      <c r="A206" s="19">
        <v>11</v>
      </c>
      <c r="B206">
        <v>2</v>
      </c>
      <c r="C206" t="s">
        <v>155</v>
      </c>
      <c r="D206" t="s">
        <v>145</v>
      </c>
      <c r="E206" s="2">
        <v>0.55902777777777779</v>
      </c>
      <c r="F206" s="2">
        <v>0.70277777777777772</v>
      </c>
      <c r="G206" s="13">
        <v>0.14374999999999993</v>
      </c>
      <c r="H206" s="20" t="s">
        <v>142</v>
      </c>
      <c r="I206" s="19" t="s">
        <v>6</v>
      </c>
      <c r="J206">
        <v>4</v>
      </c>
      <c r="K206" s="19" t="s">
        <v>1</v>
      </c>
      <c r="L206" s="22" t="s">
        <v>3</v>
      </c>
      <c r="M206">
        <v>15</v>
      </c>
      <c r="N206">
        <v>7</v>
      </c>
      <c r="O206">
        <v>11</v>
      </c>
      <c r="P206">
        <v>9</v>
      </c>
      <c r="Q206">
        <v>9</v>
      </c>
      <c r="R206">
        <v>12</v>
      </c>
      <c r="S206">
        <v>12</v>
      </c>
      <c r="T206">
        <v>2</v>
      </c>
      <c r="U206">
        <v>4</v>
      </c>
      <c r="V206">
        <v>0</v>
      </c>
      <c r="W206">
        <v>3</v>
      </c>
      <c r="X206">
        <v>1</v>
      </c>
      <c r="Y206">
        <v>2</v>
      </c>
      <c r="Z206">
        <v>2</v>
      </c>
      <c r="AA206">
        <v>2</v>
      </c>
      <c r="AB206">
        <v>1</v>
      </c>
      <c r="AC206" s="18">
        <f>SUMPRODUCT(OG_Data!D$1:S$1, M206:AB206) /SUM(M206:AB206)</f>
        <v>5.3913043478260869</v>
      </c>
      <c r="AD206">
        <f>SUM(M206:AB206)</f>
        <v>92</v>
      </c>
      <c r="AE206">
        <v>0</v>
      </c>
      <c r="AF206">
        <v>6</v>
      </c>
      <c r="AG206" s="19">
        <v>25</v>
      </c>
      <c r="AH206" s="19">
        <f>Table3[[#This Row],[Flies_per_Vial]]*Table3[[#This Row],[Vials_Total_UsedInMaze]]</f>
        <v>150</v>
      </c>
      <c r="AI206" s="19">
        <f>Table3[[#This Row],[total_Flies]]/Table3[[#This Row],[flies_in]]</f>
        <v>0.61333333333333329</v>
      </c>
      <c r="AJ206" s="19"/>
      <c r="AK206" s="31">
        <f>24*E206</f>
        <v>13.416666666666668</v>
      </c>
      <c r="AL206" s="31">
        <f>24*F206</f>
        <v>16.866666666666667</v>
      </c>
      <c r="AM206" s="31">
        <f>Table3[[#This Row],[end_time_num]]-Table3[[#This Row],[start_time_num]]</f>
        <v>3.4499999999999993</v>
      </c>
      <c r="AN206" t="s">
        <v>147</v>
      </c>
    </row>
    <row r="207" spans="1:40" x14ac:dyDescent="0.35">
      <c r="A207" s="19">
        <v>12</v>
      </c>
      <c r="B207" s="19">
        <v>1</v>
      </c>
      <c r="C207" s="19" t="s">
        <v>154</v>
      </c>
      <c r="D207" t="s">
        <v>149</v>
      </c>
      <c r="E207" s="2">
        <v>0.39027777777777778</v>
      </c>
      <c r="F207" s="2">
        <v>0.52083333333333337</v>
      </c>
      <c r="G207" s="13">
        <v>0.13055555555555559</v>
      </c>
      <c r="H207" s="20" t="s">
        <v>136</v>
      </c>
      <c r="I207" s="19" t="s">
        <v>6</v>
      </c>
      <c r="J207" s="19">
        <v>2</v>
      </c>
      <c r="K207" s="19" t="s">
        <v>5</v>
      </c>
      <c r="L207" s="22" t="s">
        <v>0</v>
      </c>
      <c r="M207">
        <v>2</v>
      </c>
      <c r="N207">
        <v>4</v>
      </c>
      <c r="O207">
        <v>1</v>
      </c>
      <c r="P207">
        <v>1</v>
      </c>
      <c r="Q207">
        <v>8</v>
      </c>
      <c r="R207">
        <v>7</v>
      </c>
      <c r="S207">
        <v>9</v>
      </c>
      <c r="T207">
        <v>15</v>
      </c>
      <c r="U207">
        <v>1</v>
      </c>
      <c r="V207">
        <v>10</v>
      </c>
      <c r="W207">
        <v>3</v>
      </c>
      <c r="X207">
        <v>2</v>
      </c>
      <c r="Y207">
        <v>2</v>
      </c>
      <c r="Z207">
        <v>1</v>
      </c>
      <c r="AA207">
        <v>5</v>
      </c>
      <c r="AB207">
        <v>3</v>
      </c>
      <c r="AC207" s="18">
        <f>SUMPRODUCT(OG_Data!D$1:S$1, M207:AB207) /SUM(M207:AB207)</f>
        <v>8.2567567567567561</v>
      </c>
      <c r="AD207">
        <f t="shared" ref="AD207:AD222" si="17">SUM(M207:AB207)</f>
        <v>74</v>
      </c>
      <c r="AE207">
        <v>0</v>
      </c>
      <c r="AF207">
        <v>6</v>
      </c>
      <c r="AG207">
        <v>25</v>
      </c>
      <c r="AH207">
        <f>Table3[[#This Row],[Flies_per_Vial]]*Table3[[#This Row],[Vials_Total_UsedInMaze]]</f>
        <v>150</v>
      </c>
      <c r="AI207">
        <f>Table3[[#This Row],[total_Flies]]/Table3[[#This Row],[flies_in]]</f>
        <v>0.49333333333333335</v>
      </c>
      <c r="AJ207"/>
      <c r="AK207" s="31">
        <f t="shared" ref="AK207:AK222" si="18">24*E207</f>
        <v>9.3666666666666671</v>
      </c>
      <c r="AL207" s="31">
        <f t="shared" ref="AL207:AL222" si="19">24*F207</f>
        <v>12.5</v>
      </c>
      <c r="AM207" s="31">
        <f>Table3[[#This Row],[end_time_num]]-Table3[[#This Row],[start_time_num]]</f>
        <v>3.1333333333333329</v>
      </c>
      <c r="AN207" t="s">
        <v>147</v>
      </c>
    </row>
    <row r="208" spans="1:40" x14ac:dyDescent="0.35">
      <c r="A208" s="19">
        <v>12</v>
      </c>
      <c r="B208" s="19">
        <v>1</v>
      </c>
      <c r="C208" s="19" t="s">
        <v>154</v>
      </c>
      <c r="D208" t="s">
        <v>149</v>
      </c>
      <c r="E208" s="2">
        <v>0.39027777777777778</v>
      </c>
      <c r="F208" s="2">
        <v>0.52638888888888891</v>
      </c>
      <c r="G208" s="13">
        <v>0.13611111111111113</v>
      </c>
      <c r="H208" s="20" t="s">
        <v>136</v>
      </c>
      <c r="I208" s="19" t="s">
        <v>6</v>
      </c>
      <c r="J208" s="19">
        <v>2</v>
      </c>
      <c r="K208" s="19" t="s">
        <v>4</v>
      </c>
      <c r="L208" s="22" t="s">
        <v>3</v>
      </c>
      <c r="M208">
        <v>2</v>
      </c>
      <c r="N208">
        <v>1</v>
      </c>
      <c r="O208">
        <v>0</v>
      </c>
      <c r="P208">
        <v>1</v>
      </c>
      <c r="Q208">
        <v>1</v>
      </c>
      <c r="R208">
        <v>4</v>
      </c>
      <c r="S208">
        <v>5</v>
      </c>
      <c r="T208">
        <v>7</v>
      </c>
      <c r="U208">
        <v>9</v>
      </c>
      <c r="V208">
        <v>5</v>
      </c>
      <c r="W208">
        <v>15</v>
      </c>
      <c r="X208">
        <v>10</v>
      </c>
      <c r="Y208">
        <v>8</v>
      </c>
      <c r="Z208">
        <v>6</v>
      </c>
      <c r="AA208">
        <v>4</v>
      </c>
      <c r="AB208">
        <v>3</v>
      </c>
      <c r="AC208" s="18">
        <f>SUMPRODUCT(OG_Data!D$1:S$1, M208:AB208) /SUM(M208:AB208)</f>
        <v>10.37037037037037</v>
      </c>
      <c r="AD208">
        <f t="shared" si="17"/>
        <v>81</v>
      </c>
      <c r="AE208">
        <v>0</v>
      </c>
      <c r="AF208">
        <v>6</v>
      </c>
      <c r="AG208">
        <v>25</v>
      </c>
      <c r="AH208">
        <f>Table3[[#This Row],[Flies_per_Vial]]*Table3[[#This Row],[Vials_Total_UsedInMaze]]</f>
        <v>150</v>
      </c>
      <c r="AI208">
        <f>Table3[[#This Row],[total_Flies]]/Table3[[#This Row],[flies_in]]</f>
        <v>0.54</v>
      </c>
      <c r="AJ208"/>
      <c r="AK208" s="31">
        <f t="shared" si="18"/>
        <v>9.3666666666666671</v>
      </c>
      <c r="AL208" s="31">
        <f t="shared" si="19"/>
        <v>12.633333333333333</v>
      </c>
      <c r="AM208" s="31">
        <f>Table3[[#This Row],[end_time_num]]-Table3[[#This Row],[start_time_num]]</f>
        <v>3.2666666666666657</v>
      </c>
      <c r="AN208" t="s">
        <v>147</v>
      </c>
    </row>
    <row r="209" spans="1:40" x14ac:dyDescent="0.35">
      <c r="A209" s="19">
        <v>12</v>
      </c>
      <c r="B209" s="19">
        <v>1</v>
      </c>
      <c r="C209" s="19" t="s">
        <v>154</v>
      </c>
      <c r="D209" t="s">
        <v>149</v>
      </c>
      <c r="E209" s="2">
        <v>0.39027777777777778</v>
      </c>
      <c r="F209" s="2">
        <v>0.53263888888888888</v>
      </c>
      <c r="G209" s="13">
        <v>0.1423611111111111</v>
      </c>
      <c r="H209" s="20" t="s">
        <v>136</v>
      </c>
      <c r="I209" s="19" t="s">
        <v>6</v>
      </c>
      <c r="J209" s="19">
        <v>2</v>
      </c>
      <c r="K209" s="19" t="s">
        <v>2</v>
      </c>
      <c r="L209" s="22" t="s">
        <v>3</v>
      </c>
      <c r="M209">
        <v>9</v>
      </c>
      <c r="N209">
        <v>15</v>
      </c>
      <c r="O209">
        <v>26</v>
      </c>
      <c r="P209">
        <v>3</v>
      </c>
      <c r="Q209">
        <v>2</v>
      </c>
      <c r="R209">
        <v>9</v>
      </c>
      <c r="S209">
        <v>5</v>
      </c>
      <c r="T209">
        <v>14</v>
      </c>
      <c r="U209">
        <v>9</v>
      </c>
      <c r="V209">
        <v>4</v>
      </c>
      <c r="W209">
        <v>8</v>
      </c>
      <c r="X209">
        <v>1</v>
      </c>
      <c r="Y209">
        <v>0</v>
      </c>
      <c r="Z209">
        <v>1</v>
      </c>
      <c r="AA209">
        <v>0</v>
      </c>
      <c r="AB209">
        <v>0</v>
      </c>
      <c r="AC209" s="18">
        <f>SUMPRODUCT(OG_Data!D$1:S$1, M209:AB209) /SUM(M209:AB209)</f>
        <v>5.4245283018867925</v>
      </c>
      <c r="AD209">
        <f t="shared" si="17"/>
        <v>106</v>
      </c>
      <c r="AE209">
        <v>0</v>
      </c>
      <c r="AF209">
        <v>6</v>
      </c>
      <c r="AG209">
        <v>25</v>
      </c>
      <c r="AH209">
        <f>Table3[[#This Row],[Flies_per_Vial]]*Table3[[#This Row],[Vials_Total_UsedInMaze]]</f>
        <v>150</v>
      </c>
      <c r="AI209">
        <f>Table3[[#This Row],[total_Flies]]/Table3[[#This Row],[flies_in]]</f>
        <v>0.70666666666666667</v>
      </c>
      <c r="AJ209"/>
      <c r="AK209" s="31">
        <f t="shared" si="18"/>
        <v>9.3666666666666671</v>
      </c>
      <c r="AL209" s="31">
        <f t="shared" si="19"/>
        <v>12.783333333333333</v>
      </c>
      <c r="AM209" s="31">
        <f>Table3[[#This Row],[end_time_num]]-Table3[[#This Row],[start_time_num]]</f>
        <v>3.4166666666666661</v>
      </c>
      <c r="AN209" t="s">
        <v>147</v>
      </c>
    </row>
    <row r="210" spans="1:40" x14ac:dyDescent="0.35">
      <c r="A210" s="19">
        <v>12</v>
      </c>
      <c r="B210" s="19">
        <v>1</v>
      </c>
      <c r="C210" s="19" t="s">
        <v>154</v>
      </c>
      <c r="D210" t="s">
        <v>149</v>
      </c>
      <c r="E210" s="2">
        <v>0.39027777777777778</v>
      </c>
      <c r="F210" s="2">
        <v>0.53888888888888886</v>
      </c>
      <c r="G210" s="13">
        <v>0.14861111111111108</v>
      </c>
      <c r="H210" s="20" t="s">
        <v>136</v>
      </c>
      <c r="I210" s="19" t="s">
        <v>6</v>
      </c>
      <c r="J210" s="19">
        <v>2</v>
      </c>
      <c r="K210" s="19" t="s">
        <v>1</v>
      </c>
      <c r="L210" s="22" t="s">
        <v>0</v>
      </c>
      <c r="M210">
        <v>4</v>
      </c>
      <c r="N210">
        <v>6</v>
      </c>
      <c r="O210">
        <v>8</v>
      </c>
      <c r="P210">
        <v>6</v>
      </c>
      <c r="Q210">
        <v>11</v>
      </c>
      <c r="R210">
        <v>12</v>
      </c>
      <c r="S210">
        <v>11</v>
      </c>
      <c r="T210">
        <v>9</v>
      </c>
      <c r="U210">
        <v>4</v>
      </c>
      <c r="V210">
        <v>0</v>
      </c>
      <c r="W210">
        <v>3</v>
      </c>
      <c r="X210">
        <v>0</v>
      </c>
      <c r="Y210">
        <v>1</v>
      </c>
      <c r="Z210">
        <v>2</v>
      </c>
      <c r="AA210">
        <v>0</v>
      </c>
      <c r="AB210">
        <v>0</v>
      </c>
      <c r="AC210" s="18">
        <f>SUMPRODUCT(OG_Data!D$1:S$1, M210:AB210) /SUM(M210:AB210)</f>
        <v>5.8441558441558445</v>
      </c>
      <c r="AD210">
        <f t="shared" si="17"/>
        <v>77</v>
      </c>
      <c r="AE210">
        <v>0</v>
      </c>
      <c r="AF210">
        <v>5</v>
      </c>
      <c r="AG210">
        <v>25</v>
      </c>
      <c r="AH210">
        <f>Table3[[#This Row],[Flies_per_Vial]]*Table3[[#This Row],[Vials_Total_UsedInMaze]]</f>
        <v>125</v>
      </c>
      <c r="AI210">
        <f>Table3[[#This Row],[total_Flies]]/Table3[[#This Row],[flies_in]]</f>
        <v>0.61599999999999999</v>
      </c>
      <c r="AJ210"/>
      <c r="AK210" s="31">
        <f t="shared" si="18"/>
        <v>9.3666666666666671</v>
      </c>
      <c r="AL210" s="31">
        <f t="shared" si="19"/>
        <v>12.933333333333334</v>
      </c>
      <c r="AM210" s="31">
        <f>Table3[[#This Row],[end_time_num]]-Table3[[#This Row],[start_time_num]]</f>
        <v>3.5666666666666664</v>
      </c>
      <c r="AN210" t="s">
        <v>147</v>
      </c>
    </row>
    <row r="211" spans="1:40" x14ac:dyDescent="0.35">
      <c r="A211" s="19">
        <v>12</v>
      </c>
      <c r="B211" s="19">
        <v>1</v>
      </c>
      <c r="C211" s="19" t="s">
        <v>155</v>
      </c>
      <c r="D211" t="s">
        <v>149</v>
      </c>
      <c r="E211" s="2">
        <v>0.55208333333333337</v>
      </c>
      <c r="F211" s="2">
        <v>0.70625000000000004</v>
      </c>
      <c r="G211" s="13">
        <v>0.15416666666666667</v>
      </c>
      <c r="H211" s="20" t="s">
        <v>142</v>
      </c>
      <c r="I211" s="19" t="s">
        <v>6</v>
      </c>
      <c r="J211" s="19">
        <v>1</v>
      </c>
      <c r="K211" s="19" t="s">
        <v>5</v>
      </c>
      <c r="L211" s="22" t="s">
        <v>0</v>
      </c>
      <c r="M211">
        <v>3</v>
      </c>
      <c r="N211">
        <v>3</v>
      </c>
      <c r="O211">
        <v>4</v>
      </c>
      <c r="P211">
        <v>3</v>
      </c>
      <c r="Q211">
        <v>8</v>
      </c>
      <c r="R211">
        <v>17</v>
      </c>
      <c r="S211">
        <v>13</v>
      </c>
      <c r="T211">
        <v>16</v>
      </c>
      <c r="U211">
        <v>15</v>
      </c>
      <c r="V211">
        <v>11</v>
      </c>
      <c r="W211">
        <v>8</v>
      </c>
      <c r="X211">
        <v>0</v>
      </c>
      <c r="Y211">
        <v>3</v>
      </c>
      <c r="Z211">
        <v>4</v>
      </c>
      <c r="AA211">
        <v>2</v>
      </c>
      <c r="AB211">
        <v>0</v>
      </c>
      <c r="AC211" s="18">
        <f>SUMPRODUCT(OG_Data!D$1:S$1, M211:AB211) /SUM(M211:AB211)</f>
        <v>7.7454545454545451</v>
      </c>
      <c r="AD211">
        <f t="shared" si="17"/>
        <v>110</v>
      </c>
      <c r="AE211">
        <v>0</v>
      </c>
      <c r="AF211">
        <v>5</v>
      </c>
      <c r="AG211">
        <v>25</v>
      </c>
      <c r="AH211">
        <f>Table3[[#This Row],[Flies_per_Vial]]*Table3[[#This Row],[Vials_Total_UsedInMaze]]</f>
        <v>125</v>
      </c>
      <c r="AI211">
        <f>Table3[[#This Row],[total_Flies]]/Table3[[#This Row],[flies_in]]</f>
        <v>0.88</v>
      </c>
      <c r="AJ211"/>
      <c r="AK211" s="31">
        <f t="shared" si="18"/>
        <v>13.25</v>
      </c>
      <c r="AL211" s="31">
        <f t="shared" si="19"/>
        <v>16.950000000000003</v>
      </c>
      <c r="AM211" s="31">
        <f>Table3[[#This Row],[end_time_num]]-Table3[[#This Row],[start_time_num]]</f>
        <v>3.7000000000000028</v>
      </c>
      <c r="AN211" t="s">
        <v>147</v>
      </c>
    </row>
    <row r="212" spans="1:40" x14ac:dyDescent="0.35">
      <c r="A212" s="19">
        <v>12</v>
      </c>
      <c r="B212" s="19">
        <v>1</v>
      </c>
      <c r="C212" s="19" t="s">
        <v>155</v>
      </c>
      <c r="D212" t="s">
        <v>149</v>
      </c>
      <c r="E212" s="2">
        <v>0.55208333333333337</v>
      </c>
      <c r="F212" s="2">
        <v>0.70138888888888884</v>
      </c>
      <c r="G212" s="13">
        <v>0.14930555555555547</v>
      </c>
      <c r="H212" s="20" t="s">
        <v>142</v>
      </c>
      <c r="I212" s="19" t="s">
        <v>6</v>
      </c>
      <c r="J212" s="19">
        <v>1</v>
      </c>
      <c r="K212" s="19" t="s">
        <v>4</v>
      </c>
      <c r="L212" s="22" t="s">
        <v>3</v>
      </c>
      <c r="M212">
        <v>12</v>
      </c>
      <c r="N212">
        <v>8</v>
      </c>
      <c r="O212">
        <v>0</v>
      </c>
      <c r="P212">
        <v>1</v>
      </c>
      <c r="Q212">
        <v>2</v>
      </c>
      <c r="R212">
        <v>5</v>
      </c>
      <c r="S212">
        <v>8</v>
      </c>
      <c r="T212">
        <v>4</v>
      </c>
      <c r="U212">
        <v>6</v>
      </c>
      <c r="V212">
        <v>7</v>
      </c>
      <c r="W212">
        <v>7</v>
      </c>
      <c r="X212">
        <v>5</v>
      </c>
      <c r="Y212">
        <v>1</v>
      </c>
      <c r="Z212">
        <v>4</v>
      </c>
      <c r="AA212">
        <v>3</v>
      </c>
      <c r="AB212">
        <v>1</v>
      </c>
      <c r="AC212" s="18">
        <f>SUMPRODUCT(OG_Data!D$1:S$1, M212:AB212) /SUM(M212:AB212)</f>
        <v>7.4459459459459456</v>
      </c>
      <c r="AD212">
        <f t="shared" si="17"/>
        <v>74</v>
      </c>
      <c r="AE212">
        <v>0</v>
      </c>
      <c r="AF212">
        <v>6</v>
      </c>
      <c r="AG212">
        <v>25</v>
      </c>
      <c r="AH212">
        <f>Table3[[#This Row],[Flies_per_Vial]]*Table3[[#This Row],[Vials_Total_UsedInMaze]]</f>
        <v>150</v>
      </c>
      <c r="AI212">
        <f>Table3[[#This Row],[total_Flies]]/Table3[[#This Row],[flies_in]]</f>
        <v>0.49333333333333335</v>
      </c>
      <c r="AJ212"/>
      <c r="AK212" s="31">
        <f t="shared" si="18"/>
        <v>13.25</v>
      </c>
      <c r="AL212" s="31">
        <f t="shared" si="19"/>
        <v>16.833333333333332</v>
      </c>
      <c r="AM212" s="31">
        <f>Table3[[#This Row],[end_time_num]]-Table3[[#This Row],[start_time_num]]</f>
        <v>3.5833333333333321</v>
      </c>
      <c r="AN212" t="s">
        <v>147</v>
      </c>
    </row>
    <row r="213" spans="1:40" x14ac:dyDescent="0.35">
      <c r="A213" s="19">
        <v>12</v>
      </c>
      <c r="B213" s="19">
        <v>1</v>
      </c>
      <c r="C213" s="19" t="s">
        <v>155</v>
      </c>
      <c r="D213" t="s">
        <v>149</v>
      </c>
      <c r="E213" s="2">
        <v>0.55208333333333337</v>
      </c>
      <c r="F213" s="2">
        <v>0.69444444444444442</v>
      </c>
      <c r="G213" s="13">
        <v>0.14236111111111105</v>
      </c>
      <c r="H213" s="20" t="s">
        <v>142</v>
      </c>
      <c r="I213" s="19" t="s">
        <v>6</v>
      </c>
      <c r="J213" s="19">
        <v>1</v>
      </c>
      <c r="K213" s="19" t="s">
        <v>2</v>
      </c>
      <c r="L213" s="22" t="s">
        <v>3</v>
      </c>
      <c r="M213">
        <v>1</v>
      </c>
      <c r="N213">
        <v>12</v>
      </c>
      <c r="O213">
        <v>13</v>
      </c>
      <c r="P213">
        <v>11</v>
      </c>
      <c r="Q213">
        <v>12</v>
      </c>
      <c r="R213">
        <v>16</v>
      </c>
      <c r="S213">
        <v>5</v>
      </c>
      <c r="T213">
        <v>4</v>
      </c>
      <c r="U213">
        <v>13</v>
      </c>
      <c r="V213">
        <v>6</v>
      </c>
      <c r="W213">
        <v>8</v>
      </c>
      <c r="X213">
        <v>0</v>
      </c>
      <c r="Y213">
        <v>0</v>
      </c>
      <c r="Z213">
        <v>1</v>
      </c>
      <c r="AA213">
        <v>0</v>
      </c>
      <c r="AB213">
        <v>0</v>
      </c>
      <c r="AC213" s="18">
        <f>SUMPRODUCT(OG_Data!D$1:S$1, M213:AB213) /SUM(M213:AB213)</f>
        <v>5.9803921568627452</v>
      </c>
      <c r="AD213">
        <f t="shared" si="17"/>
        <v>102</v>
      </c>
      <c r="AE213">
        <v>0</v>
      </c>
      <c r="AF213">
        <v>6</v>
      </c>
      <c r="AG213">
        <v>25</v>
      </c>
      <c r="AH213">
        <f>Table3[[#This Row],[Flies_per_Vial]]*Table3[[#This Row],[Vials_Total_UsedInMaze]]</f>
        <v>150</v>
      </c>
      <c r="AI213">
        <f>Table3[[#This Row],[total_Flies]]/Table3[[#This Row],[flies_in]]</f>
        <v>0.68</v>
      </c>
      <c r="AJ213"/>
      <c r="AK213" s="31">
        <f t="shared" si="18"/>
        <v>13.25</v>
      </c>
      <c r="AL213" s="31">
        <f t="shared" si="19"/>
        <v>16.666666666666664</v>
      </c>
      <c r="AM213" s="31">
        <f>Table3[[#This Row],[end_time_num]]-Table3[[#This Row],[start_time_num]]</f>
        <v>3.4166666666666643</v>
      </c>
      <c r="AN213" t="s">
        <v>147</v>
      </c>
    </row>
    <row r="214" spans="1:40" x14ac:dyDescent="0.35">
      <c r="A214" s="19">
        <v>12</v>
      </c>
      <c r="B214" s="19">
        <v>1</v>
      </c>
      <c r="C214" s="19" t="s">
        <v>155</v>
      </c>
      <c r="D214" t="s">
        <v>149</v>
      </c>
      <c r="E214" s="2">
        <v>0.55208333333333337</v>
      </c>
      <c r="F214" s="2">
        <v>0.69027777777777777</v>
      </c>
      <c r="G214" s="13">
        <v>0.1381944444444444</v>
      </c>
      <c r="H214" s="20" t="s">
        <v>142</v>
      </c>
      <c r="I214" s="19" t="s">
        <v>6</v>
      </c>
      <c r="J214" s="19">
        <v>1</v>
      </c>
      <c r="K214" s="19" t="s">
        <v>1</v>
      </c>
      <c r="L214" s="22" t="s">
        <v>0</v>
      </c>
      <c r="M214">
        <v>8</v>
      </c>
      <c r="N214">
        <v>9</v>
      </c>
      <c r="O214">
        <v>13</v>
      </c>
      <c r="P214">
        <v>12</v>
      </c>
      <c r="Q214">
        <v>13</v>
      </c>
      <c r="R214">
        <v>7</v>
      </c>
      <c r="S214">
        <v>12</v>
      </c>
      <c r="T214">
        <v>8</v>
      </c>
      <c r="U214">
        <v>7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0</v>
      </c>
      <c r="AC214" s="18">
        <f>SUMPRODUCT(OG_Data!D$1:S$1, M214:AB214) /SUM(M214:AB214)</f>
        <v>5.0760869565217392</v>
      </c>
      <c r="AD214">
        <f t="shared" si="17"/>
        <v>92</v>
      </c>
      <c r="AE214">
        <v>0</v>
      </c>
      <c r="AF214">
        <v>6</v>
      </c>
      <c r="AG214">
        <v>25</v>
      </c>
      <c r="AH214">
        <f>Table3[[#This Row],[Flies_per_Vial]]*Table3[[#This Row],[Vials_Total_UsedInMaze]]</f>
        <v>150</v>
      </c>
      <c r="AI214">
        <f>Table3[[#This Row],[total_Flies]]/Table3[[#This Row],[flies_in]]</f>
        <v>0.61333333333333329</v>
      </c>
      <c r="AJ214"/>
      <c r="AK214" s="31">
        <f t="shared" si="18"/>
        <v>13.25</v>
      </c>
      <c r="AL214" s="31">
        <f t="shared" si="19"/>
        <v>16.566666666666666</v>
      </c>
      <c r="AM214" s="31">
        <f>Table3[[#This Row],[end_time_num]]-Table3[[#This Row],[start_time_num]]</f>
        <v>3.3166666666666664</v>
      </c>
      <c r="AN214" t="s">
        <v>147</v>
      </c>
    </row>
    <row r="215" spans="1:40" x14ac:dyDescent="0.35">
      <c r="A215" s="19">
        <v>12</v>
      </c>
      <c r="B215">
        <v>2</v>
      </c>
      <c r="C215" s="19" t="s">
        <v>154</v>
      </c>
      <c r="D215" t="s">
        <v>150</v>
      </c>
      <c r="E215" s="2">
        <v>0.39097222222222222</v>
      </c>
      <c r="F215" s="2">
        <v>0.5229166666666667</v>
      </c>
      <c r="G215" s="13">
        <v>0.13194444444444448</v>
      </c>
      <c r="H215" s="20" t="s">
        <v>136</v>
      </c>
      <c r="I215" s="19" t="s">
        <v>6</v>
      </c>
      <c r="J215">
        <v>4</v>
      </c>
      <c r="K215" s="19" t="s">
        <v>5</v>
      </c>
      <c r="L215" s="22" t="s">
        <v>0</v>
      </c>
      <c r="M215">
        <v>3</v>
      </c>
      <c r="N215">
        <v>3</v>
      </c>
      <c r="O215">
        <v>2</v>
      </c>
      <c r="P215">
        <v>1</v>
      </c>
      <c r="Q215">
        <v>0</v>
      </c>
      <c r="R215">
        <v>7</v>
      </c>
      <c r="S215">
        <v>3</v>
      </c>
      <c r="T215">
        <v>2</v>
      </c>
      <c r="U215">
        <v>23</v>
      </c>
      <c r="V215">
        <v>5</v>
      </c>
      <c r="W215">
        <v>4</v>
      </c>
      <c r="X215">
        <v>3</v>
      </c>
      <c r="Y215">
        <v>1</v>
      </c>
      <c r="Z215">
        <v>1</v>
      </c>
      <c r="AA215">
        <v>2</v>
      </c>
      <c r="AB215">
        <v>11</v>
      </c>
      <c r="AC215" s="18">
        <f>SUMPRODUCT(OG_Data!D$1:S$1, M215:AB215) /SUM(M215:AB215)</f>
        <v>9.408450704225352</v>
      </c>
      <c r="AD215">
        <f t="shared" si="17"/>
        <v>71</v>
      </c>
      <c r="AE215">
        <v>0</v>
      </c>
      <c r="AF215">
        <v>5</v>
      </c>
      <c r="AG215">
        <v>25</v>
      </c>
      <c r="AH215">
        <f>Table3[[#This Row],[Flies_per_Vial]]*Table3[[#This Row],[Vials_Total_UsedInMaze]]</f>
        <v>125</v>
      </c>
      <c r="AI215">
        <f>Table3[[#This Row],[total_Flies]]/Table3[[#This Row],[flies_in]]</f>
        <v>0.56799999999999995</v>
      </c>
      <c r="AJ215"/>
      <c r="AK215" s="31">
        <f t="shared" si="18"/>
        <v>9.3833333333333329</v>
      </c>
      <c r="AL215" s="31">
        <f t="shared" si="19"/>
        <v>12.55</v>
      </c>
      <c r="AM215" s="31">
        <f>Table3[[#This Row],[end_time_num]]-Table3[[#This Row],[start_time_num]]</f>
        <v>3.1666666666666679</v>
      </c>
      <c r="AN215" t="s">
        <v>147</v>
      </c>
    </row>
    <row r="216" spans="1:40" x14ac:dyDescent="0.35">
      <c r="A216" s="19">
        <v>12</v>
      </c>
      <c r="B216">
        <v>2</v>
      </c>
      <c r="C216" s="19" t="s">
        <v>154</v>
      </c>
      <c r="D216" t="s">
        <v>150</v>
      </c>
      <c r="E216" s="2">
        <v>0.39097222222222222</v>
      </c>
      <c r="F216" s="2">
        <v>0.52916666666666667</v>
      </c>
      <c r="G216" s="13">
        <v>0.13819444444444445</v>
      </c>
      <c r="H216" s="20" t="s">
        <v>136</v>
      </c>
      <c r="I216" s="19" t="s">
        <v>6</v>
      </c>
      <c r="J216">
        <v>4</v>
      </c>
      <c r="K216" s="19" t="s">
        <v>4</v>
      </c>
      <c r="L216" s="22" t="s">
        <v>3</v>
      </c>
      <c r="M216">
        <v>5</v>
      </c>
      <c r="N216">
        <v>2</v>
      </c>
      <c r="O216">
        <v>2</v>
      </c>
      <c r="P216">
        <v>3</v>
      </c>
      <c r="Q216">
        <v>1</v>
      </c>
      <c r="R216">
        <v>4</v>
      </c>
      <c r="S216">
        <v>5</v>
      </c>
      <c r="T216">
        <v>13</v>
      </c>
      <c r="U216">
        <v>3</v>
      </c>
      <c r="V216">
        <v>8</v>
      </c>
      <c r="W216">
        <v>8</v>
      </c>
      <c r="X216">
        <v>6</v>
      </c>
      <c r="Y216">
        <v>4</v>
      </c>
      <c r="Z216">
        <v>6</v>
      </c>
      <c r="AA216">
        <v>9</v>
      </c>
      <c r="AB216">
        <v>11</v>
      </c>
      <c r="AC216" s="18">
        <f>SUMPRODUCT(OG_Data!D$1:S$1, M216:AB216) /SUM(M216:AB216)</f>
        <v>10.1</v>
      </c>
      <c r="AD216">
        <f t="shared" si="17"/>
        <v>90</v>
      </c>
      <c r="AE216">
        <v>0</v>
      </c>
      <c r="AF216">
        <v>6</v>
      </c>
      <c r="AG216">
        <v>25</v>
      </c>
      <c r="AH216">
        <f>Table3[[#This Row],[Flies_per_Vial]]*Table3[[#This Row],[Vials_Total_UsedInMaze]]</f>
        <v>150</v>
      </c>
      <c r="AI216">
        <f>Table3[[#This Row],[total_Flies]]/Table3[[#This Row],[flies_in]]</f>
        <v>0.6</v>
      </c>
      <c r="AJ216"/>
      <c r="AK216" s="31">
        <f t="shared" si="18"/>
        <v>9.3833333333333329</v>
      </c>
      <c r="AL216" s="31">
        <f t="shared" si="19"/>
        <v>12.7</v>
      </c>
      <c r="AM216" s="31">
        <f>Table3[[#This Row],[end_time_num]]-Table3[[#This Row],[start_time_num]]</f>
        <v>3.3166666666666664</v>
      </c>
      <c r="AN216" t="s">
        <v>147</v>
      </c>
    </row>
    <row r="217" spans="1:40" x14ac:dyDescent="0.35">
      <c r="A217" s="19">
        <v>12</v>
      </c>
      <c r="B217">
        <v>2</v>
      </c>
      <c r="C217" s="19" t="s">
        <v>154</v>
      </c>
      <c r="D217" t="s">
        <v>150</v>
      </c>
      <c r="E217" s="2">
        <v>0.39097222222222222</v>
      </c>
      <c r="F217" s="2">
        <v>0.53541666666666665</v>
      </c>
      <c r="G217" s="13">
        <v>0.14444444444444443</v>
      </c>
      <c r="H217" s="20" t="s">
        <v>136</v>
      </c>
      <c r="I217" s="19" t="s">
        <v>6</v>
      </c>
      <c r="J217">
        <v>4</v>
      </c>
      <c r="K217" s="19" t="s">
        <v>2</v>
      </c>
      <c r="L217" s="22" t="s">
        <v>3</v>
      </c>
      <c r="M217">
        <v>7</v>
      </c>
      <c r="N217">
        <v>23</v>
      </c>
      <c r="O217">
        <v>1</v>
      </c>
      <c r="P217">
        <v>6</v>
      </c>
      <c r="Q217">
        <v>5</v>
      </c>
      <c r="R217">
        <v>4</v>
      </c>
      <c r="S217">
        <v>6</v>
      </c>
      <c r="T217">
        <v>10</v>
      </c>
      <c r="U217">
        <v>1</v>
      </c>
      <c r="V217">
        <v>4</v>
      </c>
      <c r="W217">
        <v>0</v>
      </c>
      <c r="X217">
        <v>1</v>
      </c>
      <c r="Y217">
        <v>1</v>
      </c>
      <c r="Z217">
        <v>0</v>
      </c>
      <c r="AA217">
        <v>3</v>
      </c>
      <c r="AB217">
        <v>1</v>
      </c>
      <c r="AC217" s="18">
        <f>SUMPRODUCT(OG_Data!D$1:S$1, M217:AB217) /SUM(M217:AB217)</f>
        <v>5.2876712328767121</v>
      </c>
      <c r="AD217">
        <f t="shared" si="17"/>
        <v>73</v>
      </c>
      <c r="AE217">
        <v>0</v>
      </c>
      <c r="AF217">
        <v>5</v>
      </c>
      <c r="AG217">
        <v>25</v>
      </c>
      <c r="AH217">
        <f>Table3[[#This Row],[Flies_per_Vial]]*Table3[[#This Row],[Vials_Total_UsedInMaze]]</f>
        <v>125</v>
      </c>
      <c r="AI217">
        <f>Table3[[#This Row],[total_Flies]]/Table3[[#This Row],[flies_in]]</f>
        <v>0.58399999999999996</v>
      </c>
      <c r="AJ217"/>
      <c r="AK217" s="31">
        <f t="shared" si="18"/>
        <v>9.3833333333333329</v>
      </c>
      <c r="AL217" s="31">
        <f t="shared" si="19"/>
        <v>12.85</v>
      </c>
      <c r="AM217" s="31">
        <f>Table3[[#This Row],[end_time_num]]-Table3[[#This Row],[start_time_num]]</f>
        <v>3.4666666666666668</v>
      </c>
      <c r="AN217" t="s">
        <v>147</v>
      </c>
    </row>
    <row r="218" spans="1:40" x14ac:dyDescent="0.35">
      <c r="A218" s="19">
        <v>12</v>
      </c>
      <c r="B218">
        <v>2</v>
      </c>
      <c r="C218" s="19" t="s">
        <v>154</v>
      </c>
      <c r="D218" t="s">
        <v>150</v>
      </c>
      <c r="E218" s="2">
        <v>0.39097222222222222</v>
      </c>
      <c r="F218" s="2">
        <v>0.5395833333333333</v>
      </c>
      <c r="G218" s="13">
        <v>0.14861111111111108</v>
      </c>
      <c r="H218" s="20" t="s">
        <v>136</v>
      </c>
      <c r="I218" s="19" t="s">
        <v>6</v>
      </c>
      <c r="J218">
        <v>4</v>
      </c>
      <c r="K218" s="19" t="s">
        <v>1</v>
      </c>
      <c r="L218" s="22" t="s">
        <v>0</v>
      </c>
      <c r="M218">
        <v>7</v>
      </c>
      <c r="N218">
        <v>10</v>
      </c>
      <c r="O218">
        <v>6</v>
      </c>
      <c r="P218">
        <v>9</v>
      </c>
      <c r="Q218">
        <v>11</v>
      </c>
      <c r="R218">
        <v>7</v>
      </c>
      <c r="S218">
        <v>11</v>
      </c>
      <c r="T218">
        <v>7</v>
      </c>
      <c r="U218">
        <v>5</v>
      </c>
      <c r="V218">
        <v>0</v>
      </c>
      <c r="W218">
        <v>2</v>
      </c>
      <c r="X218">
        <v>1</v>
      </c>
      <c r="Y218">
        <v>0</v>
      </c>
      <c r="Z218">
        <v>1</v>
      </c>
      <c r="AA218">
        <v>0</v>
      </c>
      <c r="AB218">
        <v>0</v>
      </c>
      <c r="AC218" s="18">
        <f>SUMPRODUCT(OG_Data!D$1:S$1, M218:AB218) /SUM(M218:AB218)</f>
        <v>5.2467532467532472</v>
      </c>
      <c r="AD218">
        <f t="shared" si="17"/>
        <v>77</v>
      </c>
      <c r="AE218">
        <v>0</v>
      </c>
      <c r="AF218">
        <v>5</v>
      </c>
      <c r="AG218">
        <v>25</v>
      </c>
      <c r="AH218">
        <f>Table3[[#This Row],[Flies_per_Vial]]*Table3[[#This Row],[Vials_Total_UsedInMaze]]</f>
        <v>125</v>
      </c>
      <c r="AI218">
        <f>Table3[[#This Row],[total_Flies]]/Table3[[#This Row],[flies_in]]</f>
        <v>0.61599999999999999</v>
      </c>
      <c r="AJ218"/>
      <c r="AK218" s="31">
        <f t="shared" si="18"/>
        <v>9.3833333333333329</v>
      </c>
      <c r="AL218" s="31">
        <f t="shared" si="19"/>
        <v>12.95</v>
      </c>
      <c r="AM218" s="31">
        <f>Table3[[#This Row],[end_time_num]]-Table3[[#This Row],[start_time_num]]</f>
        <v>3.5666666666666664</v>
      </c>
      <c r="AN218" t="s">
        <v>147</v>
      </c>
    </row>
    <row r="219" spans="1:40" x14ac:dyDescent="0.35">
      <c r="A219" s="19">
        <v>12</v>
      </c>
      <c r="B219">
        <v>2</v>
      </c>
      <c r="C219" s="19" t="s">
        <v>155</v>
      </c>
      <c r="D219" t="s">
        <v>150</v>
      </c>
      <c r="E219" s="2">
        <v>0.5625</v>
      </c>
      <c r="F219" s="2">
        <v>0.70833333333333337</v>
      </c>
      <c r="G219" s="13">
        <v>0.14583333333333337</v>
      </c>
      <c r="H219" s="20" t="s">
        <v>142</v>
      </c>
      <c r="I219" s="19" t="s">
        <v>6</v>
      </c>
      <c r="J219">
        <v>3</v>
      </c>
      <c r="K219" s="19" t="s">
        <v>5</v>
      </c>
      <c r="L219" s="22" t="s">
        <v>0</v>
      </c>
      <c r="M219">
        <v>2</v>
      </c>
      <c r="N219">
        <v>2</v>
      </c>
      <c r="O219">
        <v>1</v>
      </c>
      <c r="P219">
        <v>2</v>
      </c>
      <c r="Q219">
        <v>12</v>
      </c>
      <c r="R219">
        <v>8</v>
      </c>
      <c r="S219">
        <v>8</v>
      </c>
      <c r="T219">
        <v>13</v>
      </c>
      <c r="U219">
        <v>4</v>
      </c>
      <c r="V219">
        <v>11</v>
      </c>
      <c r="W219">
        <v>7</v>
      </c>
      <c r="X219">
        <v>2</v>
      </c>
      <c r="Y219">
        <v>4</v>
      </c>
      <c r="Z219">
        <v>2</v>
      </c>
      <c r="AA219">
        <v>2</v>
      </c>
      <c r="AB219">
        <v>0</v>
      </c>
      <c r="AC219" s="18">
        <f>SUMPRODUCT(OG_Data!D$1:S$1, M219:AB219) /SUM(M219:AB219)</f>
        <v>8.0250000000000004</v>
      </c>
      <c r="AD219">
        <f t="shared" si="17"/>
        <v>80</v>
      </c>
      <c r="AE219">
        <v>0</v>
      </c>
      <c r="AF219">
        <v>5</v>
      </c>
      <c r="AG219">
        <v>25</v>
      </c>
      <c r="AH219">
        <f>Table3[[#This Row],[Flies_per_Vial]]*Table3[[#This Row],[Vials_Total_UsedInMaze]]</f>
        <v>125</v>
      </c>
      <c r="AI219">
        <f>Table3[[#This Row],[total_Flies]]/Table3[[#This Row],[flies_in]]</f>
        <v>0.64</v>
      </c>
      <c r="AJ219"/>
      <c r="AK219" s="31">
        <f t="shared" si="18"/>
        <v>13.5</v>
      </c>
      <c r="AL219" s="31">
        <f t="shared" si="19"/>
        <v>17</v>
      </c>
      <c r="AM219" s="31">
        <f>Table3[[#This Row],[end_time_num]]-Table3[[#This Row],[start_time_num]]</f>
        <v>3.5</v>
      </c>
      <c r="AN219" t="s">
        <v>147</v>
      </c>
    </row>
    <row r="220" spans="1:40" x14ac:dyDescent="0.35">
      <c r="A220" s="19">
        <v>12</v>
      </c>
      <c r="B220">
        <v>2</v>
      </c>
      <c r="C220" s="19" t="s">
        <v>155</v>
      </c>
      <c r="D220" t="s">
        <v>150</v>
      </c>
      <c r="E220" s="2">
        <v>0.5625</v>
      </c>
      <c r="F220" s="2">
        <v>0.71180555555555558</v>
      </c>
      <c r="G220" s="13">
        <v>0.14930555555555558</v>
      </c>
      <c r="H220" s="20" t="s">
        <v>142</v>
      </c>
      <c r="I220" s="19" t="s">
        <v>6</v>
      </c>
      <c r="J220">
        <v>3</v>
      </c>
      <c r="K220" s="19" t="s">
        <v>4</v>
      </c>
      <c r="L220" s="22" t="s">
        <v>3</v>
      </c>
      <c r="M220">
        <v>1</v>
      </c>
      <c r="N220">
        <v>2</v>
      </c>
      <c r="O220">
        <v>1</v>
      </c>
      <c r="P220">
        <v>2</v>
      </c>
      <c r="Q220">
        <v>1</v>
      </c>
      <c r="R220">
        <v>4</v>
      </c>
      <c r="S220">
        <v>6</v>
      </c>
      <c r="T220">
        <v>2</v>
      </c>
      <c r="U220">
        <v>3</v>
      </c>
      <c r="V220">
        <v>0</v>
      </c>
      <c r="W220">
        <v>2</v>
      </c>
      <c r="X220">
        <v>0</v>
      </c>
      <c r="Y220">
        <v>1</v>
      </c>
      <c r="Z220">
        <v>0</v>
      </c>
      <c r="AA220">
        <v>4</v>
      </c>
      <c r="AB220">
        <v>3</v>
      </c>
      <c r="AC220" s="18">
        <f>SUMPRODUCT(OG_Data!D$1:S$1, M220:AB220) /SUM(M220:AB220)</f>
        <v>8.53125</v>
      </c>
      <c r="AD220">
        <f t="shared" si="17"/>
        <v>32</v>
      </c>
      <c r="AE220">
        <v>0</v>
      </c>
      <c r="AF220">
        <v>4</v>
      </c>
      <c r="AG220">
        <v>25</v>
      </c>
      <c r="AH220">
        <f>Table3[[#This Row],[Flies_per_Vial]]*Table3[[#This Row],[Vials_Total_UsedInMaze]]</f>
        <v>100</v>
      </c>
      <c r="AI220">
        <f>Table3[[#This Row],[total_Flies]]/Table3[[#This Row],[flies_in]]</f>
        <v>0.32</v>
      </c>
      <c r="AJ220"/>
      <c r="AK220" s="31">
        <f t="shared" si="18"/>
        <v>13.5</v>
      </c>
      <c r="AL220" s="31">
        <f t="shared" si="19"/>
        <v>17.083333333333336</v>
      </c>
      <c r="AM220" s="31">
        <f>Table3[[#This Row],[end_time_num]]-Table3[[#This Row],[start_time_num]]</f>
        <v>3.5833333333333357</v>
      </c>
      <c r="AN220" t="s">
        <v>147</v>
      </c>
    </row>
    <row r="221" spans="1:40" x14ac:dyDescent="0.35">
      <c r="A221" s="19">
        <v>12</v>
      </c>
      <c r="B221">
        <v>2</v>
      </c>
      <c r="C221" s="19" t="s">
        <v>155</v>
      </c>
      <c r="D221" t="s">
        <v>150</v>
      </c>
      <c r="E221" s="2">
        <v>0.5625</v>
      </c>
      <c r="F221" s="2">
        <v>0.71597222222222223</v>
      </c>
      <c r="G221" s="13">
        <v>0.15347222222222223</v>
      </c>
      <c r="H221" s="20" t="s">
        <v>142</v>
      </c>
      <c r="I221" s="19" t="s">
        <v>6</v>
      </c>
      <c r="J221">
        <v>3</v>
      </c>
      <c r="K221" s="19" t="s">
        <v>2</v>
      </c>
      <c r="L221" s="22" t="s">
        <v>3</v>
      </c>
      <c r="M221">
        <v>5</v>
      </c>
      <c r="N221">
        <v>5</v>
      </c>
      <c r="O221">
        <v>7</v>
      </c>
      <c r="P221">
        <v>5</v>
      </c>
      <c r="Q221">
        <v>2</v>
      </c>
      <c r="R221">
        <v>6</v>
      </c>
      <c r="S221">
        <v>5</v>
      </c>
      <c r="T221">
        <v>3</v>
      </c>
      <c r="U221">
        <v>9</v>
      </c>
      <c r="V221">
        <v>5</v>
      </c>
      <c r="W221">
        <v>7</v>
      </c>
      <c r="X221">
        <v>0</v>
      </c>
      <c r="Y221">
        <v>1</v>
      </c>
      <c r="Z221">
        <v>1</v>
      </c>
      <c r="AA221">
        <v>0</v>
      </c>
      <c r="AB221">
        <v>0</v>
      </c>
      <c r="AC221" s="18">
        <f>SUMPRODUCT(OG_Data!D$1:S$1, M221:AB221) /SUM(M221:AB221)</f>
        <v>6.4918032786885247</v>
      </c>
      <c r="AD221">
        <f t="shared" si="17"/>
        <v>61</v>
      </c>
      <c r="AE221">
        <v>0</v>
      </c>
      <c r="AF221">
        <v>4</v>
      </c>
      <c r="AG221">
        <v>25</v>
      </c>
      <c r="AH221">
        <f>Table3[[#This Row],[Flies_per_Vial]]*Table3[[#This Row],[Vials_Total_UsedInMaze]]</f>
        <v>100</v>
      </c>
      <c r="AI221">
        <f>Table3[[#This Row],[total_Flies]]/Table3[[#This Row],[flies_in]]</f>
        <v>0.61</v>
      </c>
      <c r="AJ221"/>
      <c r="AK221" s="31">
        <f t="shared" si="18"/>
        <v>13.5</v>
      </c>
      <c r="AL221" s="31">
        <f t="shared" si="19"/>
        <v>17.183333333333334</v>
      </c>
      <c r="AM221" s="31">
        <f>Table3[[#This Row],[end_time_num]]-Table3[[#This Row],[start_time_num]]</f>
        <v>3.6833333333333336</v>
      </c>
      <c r="AN221" t="s">
        <v>147</v>
      </c>
    </row>
    <row r="222" spans="1:40" x14ac:dyDescent="0.35">
      <c r="A222" s="19">
        <v>12</v>
      </c>
      <c r="B222">
        <v>2</v>
      </c>
      <c r="C222" s="19" t="s">
        <v>155</v>
      </c>
      <c r="D222" t="s">
        <v>150</v>
      </c>
      <c r="E222" s="2">
        <v>0.5625</v>
      </c>
      <c r="F222" s="2">
        <v>0.72291666666666665</v>
      </c>
      <c r="G222" s="13">
        <v>0.16041666666666665</v>
      </c>
      <c r="H222" s="20" t="s">
        <v>142</v>
      </c>
      <c r="I222" s="19" t="s">
        <v>6</v>
      </c>
      <c r="J222">
        <v>3</v>
      </c>
      <c r="K222" s="19" t="s">
        <v>1</v>
      </c>
      <c r="L222" s="22" t="s">
        <v>0</v>
      </c>
      <c r="M222">
        <v>8</v>
      </c>
      <c r="N222">
        <v>8</v>
      </c>
      <c r="O222">
        <v>5</v>
      </c>
      <c r="P222">
        <v>9</v>
      </c>
      <c r="Q222">
        <v>16</v>
      </c>
      <c r="R222">
        <v>5</v>
      </c>
      <c r="S222">
        <v>10</v>
      </c>
      <c r="T222">
        <v>9</v>
      </c>
      <c r="U222">
        <v>4</v>
      </c>
      <c r="V222">
        <v>1</v>
      </c>
      <c r="W222">
        <v>1</v>
      </c>
      <c r="X222">
        <v>0</v>
      </c>
      <c r="Y222">
        <v>0</v>
      </c>
      <c r="Z222">
        <v>2</v>
      </c>
      <c r="AA222">
        <v>0</v>
      </c>
      <c r="AB222">
        <v>0</v>
      </c>
      <c r="AC222" s="18">
        <f>SUMPRODUCT(OG_Data!D$1:S$1, M222:AB222) /SUM(M222:AB222)</f>
        <v>5.2820512820512819</v>
      </c>
      <c r="AD222">
        <f t="shared" si="17"/>
        <v>78</v>
      </c>
      <c r="AE222">
        <v>0</v>
      </c>
      <c r="AF222">
        <v>5</v>
      </c>
      <c r="AG222">
        <v>25</v>
      </c>
      <c r="AH222">
        <f>Table3[[#This Row],[Flies_per_Vial]]*Table3[[#This Row],[Vials_Total_UsedInMaze]]</f>
        <v>125</v>
      </c>
      <c r="AI222">
        <f>Table3[[#This Row],[total_Flies]]/Table3[[#This Row],[flies_in]]</f>
        <v>0.624</v>
      </c>
      <c r="AJ222"/>
      <c r="AK222" s="31">
        <f t="shared" si="18"/>
        <v>13.5</v>
      </c>
      <c r="AL222" s="31">
        <f t="shared" si="19"/>
        <v>17.350000000000001</v>
      </c>
      <c r="AM222" s="31">
        <f>Table3[[#This Row],[end_time_num]]-Table3[[#This Row],[start_time_num]]</f>
        <v>3.8500000000000014</v>
      </c>
      <c r="AN222" t="s">
        <v>147</v>
      </c>
    </row>
    <row r="223" spans="1:40" x14ac:dyDescent="0.35">
      <c r="A223" s="19">
        <v>13</v>
      </c>
      <c r="B223" s="19">
        <v>1</v>
      </c>
      <c r="C223" s="19" t="s">
        <v>154</v>
      </c>
      <c r="D223" t="s">
        <v>151</v>
      </c>
      <c r="E223" s="2">
        <v>0.3923611111111111</v>
      </c>
      <c r="F223" s="2">
        <v>0.53125</v>
      </c>
      <c r="G223" s="13">
        <v>0.1388888888888889</v>
      </c>
      <c r="H223" s="20" t="s">
        <v>136</v>
      </c>
      <c r="I223" s="19" t="s">
        <v>6</v>
      </c>
      <c r="J223" s="19">
        <v>1</v>
      </c>
      <c r="K223" s="19" t="s">
        <v>5</v>
      </c>
      <c r="L223" s="14" t="s">
        <v>3</v>
      </c>
      <c r="M223">
        <v>7</v>
      </c>
      <c r="N223">
        <v>7</v>
      </c>
      <c r="O223">
        <v>1</v>
      </c>
      <c r="P223">
        <v>1</v>
      </c>
      <c r="Q223">
        <v>7</v>
      </c>
      <c r="R223">
        <v>2</v>
      </c>
      <c r="S223">
        <v>3</v>
      </c>
      <c r="T223">
        <v>1</v>
      </c>
      <c r="U223">
        <v>5</v>
      </c>
      <c r="V223">
        <v>6</v>
      </c>
      <c r="W223">
        <v>5</v>
      </c>
      <c r="X223">
        <v>7</v>
      </c>
      <c r="Y223">
        <v>7</v>
      </c>
      <c r="Z223">
        <v>3</v>
      </c>
      <c r="AA223">
        <v>6</v>
      </c>
      <c r="AB223">
        <v>20</v>
      </c>
      <c r="AC223" s="18">
        <f>SUMPRODUCT(OG_Data!D$1:S$1, M223:AB223) /SUM(M223:AB223)</f>
        <v>10.125</v>
      </c>
      <c r="AD223">
        <f t="shared" ref="AD223:AD238" si="20">SUM(M223:AB223)</f>
        <v>88</v>
      </c>
      <c r="AE223">
        <v>0</v>
      </c>
      <c r="AF223">
        <v>6</v>
      </c>
      <c r="AG223">
        <v>25</v>
      </c>
      <c r="AH223">
        <f>Table3[[#This Row],[Flies_per_Vial]]*Table3[[#This Row],[Vials_Total_UsedInMaze]]</f>
        <v>150</v>
      </c>
      <c r="AI223">
        <f>Table3[[#This Row],[total_Flies]]/Table3[[#This Row],[flies_in]]</f>
        <v>0.58666666666666667</v>
      </c>
      <c r="AJ223"/>
      <c r="AK223" s="31">
        <f t="shared" ref="AK223:AK238" si="21">24*E223</f>
        <v>9.4166666666666661</v>
      </c>
      <c r="AL223" s="31">
        <f t="shared" ref="AL223:AL238" si="22">24*F223</f>
        <v>12.75</v>
      </c>
      <c r="AM223" s="31">
        <f>Table3[[#This Row],[end_time_num]]-Table3[[#This Row],[start_time_num]]</f>
        <v>3.3333333333333339</v>
      </c>
      <c r="AN223" s="19" t="s">
        <v>147</v>
      </c>
    </row>
    <row r="224" spans="1:40" x14ac:dyDescent="0.35">
      <c r="A224" s="19">
        <v>13</v>
      </c>
      <c r="B224" s="19">
        <v>1</v>
      </c>
      <c r="C224" s="19" t="s">
        <v>154</v>
      </c>
      <c r="D224" t="s">
        <v>151</v>
      </c>
      <c r="E224" s="2">
        <v>0.3923611111111111</v>
      </c>
      <c r="F224" s="2">
        <v>0.53749999999999998</v>
      </c>
      <c r="G224" s="13">
        <v>0.14513888888888887</v>
      </c>
      <c r="H224" s="20" t="s">
        <v>136</v>
      </c>
      <c r="I224" s="19" t="s">
        <v>6</v>
      </c>
      <c r="J224" s="19">
        <v>1</v>
      </c>
      <c r="K224" s="19" t="s">
        <v>4</v>
      </c>
      <c r="L224" s="14" t="s">
        <v>0</v>
      </c>
      <c r="M224">
        <v>3</v>
      </c>
      <c r="N224">
        <v>5</v>
      </c>
      <c r="O224">
        <v>6</v>
      </c>
      <c r="P224">
        <v>1</v>
      </c>
      <c r="Q224">
        <v>1</v>
      </c>
      <c r="R224">
        <v>1</v>
      </c>
      <c r="S224">
        <v>13</v>
      </c>
      <c r="T224">
        <v>14</v>
      </c>
      <c r="U224">
        <v>6</v>
      </c>
      <c r="V224">
        <v>7</v>
      </c>
      <c r="W224">
        <v>7</v>
      </c>
      <c r="X224">
        <v>7</v>
      </c>
      <c r="Y224">
        <v>5</v>
      </c>
      <c r="Z224">
        <v>2</v>
      </c>
      <c r="AA224">
        <v>0</v>
      </c>
      <c r="AB224">
        <v>2</v>
      </c>
      <c r="AC224" s="18">
        <f>SUMPRODUCT(OG_Data!D$1:S$1, M224:AB224) /SUM(M224:AB224)</f>
        <v>8.2375000000000007</v>
      </c>
      <c r="AD224">
        <f t="shared" si="20"/>
        <v>80</v>
      </c>
      <c r="AE224">
        <v>0</v>
      </c>
      <c r="AF224">
        <v>5</v>
      </c>
      <c r="AG224">
        <v>25</v>
      </c>
      <c r="AH224">
        <f>Table3[[#This Row],[Flies_per_Vial]]*Table3[[#This Row],[Vials_Total_UsedInMaze]]</f>
        <v>125</v>
      </c>
      <c r="AI224">
        <f>Table3[[#This Row],[total_Flies]]/Table3[[#This Row],[flies_in]]</f>
        <v>0.64</v>
      </c>
      <c r="AJ224"/>
      <c r="AK224" s="31">
        <f t="shared" si="21"/>
        <v>9.4166666666666661</v>
      </c>
      <c r="AL224" s="31">
        <f t="shared" si="22"/>
        <v>12.899999999999999</v>
      </c>
      <c r="AM224" s="31">
        <f>Table3[[#This Row],[end_time_num]]-Table3[[#This Row],[start_time_num]]</f>
        <v>3.4833333333333325</v>
      </c>
      <c r="AN224" s="19" t="s">
        <v>147</v>
      </c>
    </row>
    <row r="225" spans="1:40" x14ac:dyDescent="0.35">
      <c r="A225" s="19">
        <v>13</v>
      </c>
      <c r="B225" s="19">
        <v>1</v>
      </c>
      <c r="C225" s="19" t="s">
        <v>154</v>
      </c>
      <c r="D225" t="s">
        <v>151</v>
      </c>
      <c r="E225" s="2">
        <v>0.3923611111111111</v>
      </c>
      <c r="F225" s="2">
        <v>0.54166666666666663</v>
      </c>
      <c r="G225" s="13">
        <v>0.14930555555555552</v>
      </c>
      <c r="H225" s="20" t="s">
        <v>136</v>
      </c>
      <c r="I225" s="19" t="s">
        <v>6</v>
      </c>
      <c r="J225" s="19">
        <v>1</v>
      </c>
      <c r="K225" s="19" t="s">
        <v>2</v>
      </c>
      <c r="L225" s="14" t="s">
        <v>0</v>
      </c>
      <c r="M225">
        <v>12</v>
      </c>
      <c r="N225">
        <v>15</v>
      </c>
      <c r="O225">
        <v>19</v>
      </c>
      <c r="P225">
        <v>4</v>
      </c>
      <c r="Q225">
        <v>3</v>
      </c>
      <c r="R225">
        <v>11</v>
      </c>
      <c r="S225">
        <v>6</v>
      </c>
      <c r="T225">
        <v>7</v>
      </c>
      <c r="U225">
        <v>18</v>
      </c>
      <c r="V225">
        <v>7</v>
      </c>
      <c r="W225">
        <v>5</v>
      </c>
      <c r="X225">
        <v>1</v>
      </c>
      <c r="Y225">
        <v>2</v>
      </c>
      <c r="Z225">
        <v>0</v>
      </c>
      <c r="AA225">
        <v>0</v>
      </c>
      <c r="AB225">
        <v>0</v>
      </c>
      <c r="AC225" s="18">
        <f>SUMPRODUCT(OG_Data!D$1:S$1, M225:AB225) /SUM(M225:AB225)</f>
        <v>5.627272727272727</v>
      </c>
      <c r="AD225">
        <f t="shared" si="20"/>
        <v>110</v>
      </c>
      <c r="AE225">
        <v>0</v>
      </c>
      <c r="AF225">
        <v>6</v>
      </c>
      <c r="AG225">
        <v>25</v>
      </c>
      <c r="AH225">
        <f>Table3[[#This Row],[Flies_per_Vial]]*Table3[[#This Row],[Vials_Total_UsedInMaze]]</f>
        <v>150</v>
      </c>
      <c r="AI225">
        <f>Table3[[#This Row],[total_Flies]]/Table3[[#This Row],[flies_in]]</f>
        <v>0.73333333333333328</v>
      </c>
      <c r="AJ225"/>
      <c r="AK225" s="31">
        <f t="shared" si="21"/>
        <v>9.4166666666666661</v>
      </c>
      <c r="AL225" s="31">
        <f t="shared" si="22"/>
        <v>13</v>
      </c>
      <c r="AM225" s="31">
        <f>Table3[[#This Row],[end_time_num]]-Table3[[#This Row],[start_time_num]]</f>
        <v>3.5833333333333339</v>
      </c>
      <c r="AN225" s="19" t="s">
        <v>147</v>
      </c>
    </row>
    <row r="226" spans="1:40" x14ac:dyDescent="0.35">
      <c r="A226" s="19">
        <v>13</v>
      </c>
      <c r="B226" s="19">
        <v>1</v>
      </c>
      <c r="C226" s="19" t="s">
        <v>154</v>
      </c>
      <c r="D226" t="s">
        <v>151</v>
      </c>
      <c r="E226" s="2">
        <v>0.3923611111111111</v>
      </c>
      <c r="F226" s="2">
        <v>0.54513888888888884</v>
      </c>
      <c r="G226" s="13">
        <v>0.15277777777777773</v>
      </c>
      <c r="H226" s="20" t="s">
        <v>136</v>
      </c>
      <c r="I226" s="19" t="s">
        <v>6</v>
      </c>
      <c r="J226" s="19">
        <v>1</v>
      </c>
      <c r="K226" s="19" t="s">
        <v>1</v>
      </c>
      <c r="L226" s="14" t="s">
        <v>3</v>
      </c>
      <c r="M226">
        <v>9</v>
      </c>
      <c r="N226">
        <v>11</v>
      </c>
      <c r="O226">
        <v>7</v>
      </c>
      <c r="P226">
        <v>6</v>
      </c>
      <c r="Q226">
        <v>9</v>
      </c>
      <c r="R226">
        <v>9</v>
      </c>
      <c r="S226">
        <v>7</v>
      </c>
      <c r="T226">
        <v>5</v>
      </c>
      <c r="U226">
        <v>1</v>
      </c>
      <c r="V226">
        <v>0</v>
      </c>
      <c r="W226">
        <v>5</v>
      </c>
      <c r="X226">
        <v>1</v>
      </c>
      <c r="Y226">
        <v>1</v>
      </c>
      <c r="Z226">
        <v>1</v>
      </c>
      <c r="AA226">
        <v>0</v>
      </c>
      <c r="AB226">
        <v>1</v>
      </c>
      <c r="AC226" s="18">
        <f>SUMPRODUCT(OG_Data!D$1:S$1, M226:AB226) /SUM(M226:AB226)</f>
        <v>5.2465753424657535</v>
      </c>
      <c r="AD226">
        <f t="shared" si="20"/>
        <v>73</v>
      </c>
      <c r="AE226">
        <v>0</v>
      </c>
      <c r="AF226">
        <v>6</v>
      </c>
      <c r="AG226">
        <v>25</v>
      </c>
      <c r="AH226">
        <f>Table3[[#This Row],[Flies_per_Vial]]*Table3[[#This Row],[Vials_Total_UsedInMaze]]</f>
        <v>150</v>
      </c>
      <c r="AI226">
        <f>Table3[[#This Row],[total_Flies]]/Table3[[#This Row],[flies_in]]</f>
        <v>0.48666666666666669</v>
      </c>
      <c r="AJ226"/>
      <c r="AK226" s="31">
        <f t="shared" si="21"/>
        <v>9.4166666666666661</v>
      </c>
      <c r="AL226" s="31">
        <f t="shared" si="22"/>
        <v>13.083333333333332</v>
      </c>
      <c r="AM226" s="31">
        <f>Table3[[#This Row],[end_time_num]]-Table3[[#This Row],[start_time_num]]</f>
        <v>3.6666666666666661</v>
      </c>
      <c r="AN226" s="19" t="s">
        <v>147</v>
      </c>
    </row>
    <row r="227" spans="1:40" x14ac:dyDescent="0.35">
      <c r="A227" s="19">
        <v>13</v>
      </c>
      <c r="B227" s="19">
        <v>1</v>
      </c>
      <c r="C227" s="19" t="s">
        <v>155</v>
      </c>
      <c r="D227" t="s">
        <v>151</v>
      </c>
      <c r="E227" s="2">
        <v>0.56597222222222221</v>
      </c>
      <c r="F227" s="2">
        <v>0.7319444444444444</v>
      </c>
      <c r="G227" s="13">
        <v>0.16597222222222219</v>
      </c>
      <c r="H227" s="20" t="s">
        <v>142</v>
      </c>
      <c r="I227" s="19" t="s">
        <v>6</v>
      </c>
      <c r="J227" s="19">
        <v>2</v>
      </c>
      <c r="K227" s="19" t="s">
        <v>5</v>
      </c>
      <c r="L227" s="14" t="s">
        <v>3</v>
      </c>
      <c r="M227">
        <v>4</v>
      </c>
      <c r="N227">
        <v>3</v>
      </c>
      <c r="O227">
        <v>3</v>
      </c>
      <c r="P227">
        <v>0</v>
      </c>
      <c r="Q227">
        <v>10</v>
      </c>
      <c r="R227">
        <v>3</v>
      </c>
      <c r="S227">
        <v>4</v>
      </c>
      <c r="T227">
        <v>6</v>
      </c>
      <c r="U227">
        <v>3</v>
      </c>
      <c r="V227">
        <v>6</v>
      </c>
      <c r="W227">
        <v>14</v>
      </c>
      <c r="X227">
        <v>3</v>
      </c>
      <c r="Y227">
        <v>9</v>
      </c>
      <c r="Z227">
        <v>3</v>
      </c>
      <c r="AA227">
        <v>9</v>
      </c>
      <c r="AB227">
        <v>9</v>
      </c>
      <c r="AC227" s="18">
        <f>SUMPRODUCT(OG_Data!D$1:S$1, M227:AB227) /SUM(M227:AB227)</f>
        <v>9.8651685393258433</v>
      </c>
      <c r="AD227">
        <f t="shared" si="20"/>
        <v>89</v>
      </c>
      <c r="AE227">
        <v>0</v>
      </c>
      <c r="AF227">
        <v>6</v>
      </c>
      <c r="AG227">
        <v>25</v>
      </c>
      <c r="AH227">
        <f>Table3[[#This Row],[Flies_per_Vial]]*Table3[[#This Row],[Vials_Total_UsedInMaze]]</f>
        <v>150</v>
      </c>
      <c r="AI227">
        <f>Table3[[#This Row],[total_Flies]]/Table3[[#This Row],[flies_in]]</f>
        <v>0.59333333333333338</v>
      </c>
      <c r="AJ227"/>
      <c r="AK227" s="31">
        <f t="shared" si="21"/>
        <v>13.583333333333332</v>
      </c>
      <c r="AL227" s="31">
        <f t="shared" si="22"/>
        <v>17.566666666666666</v>
      </c>
      <c r="AM227" s="31">
        <f>Table3[[#This Row],[end_time_num]]-Table3[[#This Row],[start_time_num]]</f>
        <v>3.9833333333333343</v>
      </c>
      <c r="AN227" s="19" t="s">
        <v>147</v>
      </c>
    </row>
    <row r="228" spans="1:40" x14ac:dyDescent="0.35">
      <c r="A228" s="19">
        <v>13</v>
      </c>
      <c r="B228" s="19">
        <v>1</v>
      </c>
      <c r="C228" s="19" t="s">
        <v>155</v>
      </c>
      <c r="D228" t="s">
        <v>151</v>
      </c>
      <c r="E228" s="2">
        <v>0.56597222222222221</v>
      </c>
      <c r="F228" s="2">
        <v>0.7368055555555556</v>
      </c>
      <c r="G228" s="13">
        <v>0.17083333333333339</v>
      </c>
      <c r="H228" s="20" t="s">
        <v>142</v>
      </c>
      <c r="I228" s="19" t="s">
        <v>6</v>
      </c>
      <c r="J228" s="19">
        <v>2</v>
      </c>
      <c r="K228" s="19" t="s">
        <v>4</v>
      </c>
      <c r="L228" s="14" t="s">
        <v>0</v>
      </c>
      <c r="M228">
        <v>9</v>
      </c>
      <c r="N228">
        <v>15</v>
      </c>
      <c r="O228">
        <v>11</v>
      </c>
      <c r="P228">
        <v>5</v>
      </c>
      <c r="Q228">
        <v>7</v>
      </c>
      <c r="R228">
        <v>8</v>
      </c>
      <c r="S228">
        <v>9</v>
      </c>
      <c r="T228">
        <v>12</v>
      </c>
      <c r="U228">
        <v>7</v>
      </c>
      <c r="V228">
        <v>5</v>
      </c>
      <c r="W228">
        <v>3</v>
      </c>
      <c r="X228">
        <v>3</v>
      </c>
      <c r="Y228">
        <v>2</v>
      </c>
      <c r="Z228">
        <v>1</v>
      </c>
      <c r="AA228">
        <v>1</v>
      </c>
      <c r="AB228">
        <v>4</v>
      </c>
      <c r="AC228" s="18">
        <f>SUMPRODUCT(OG_Data!D$1:S$1, M228:AB228) /SUM(M228:AB228)</f>
        <v>6.2254901960784315</v>
      </c>
      <c r="AD228">
        <f t="shared" si="20"/>
        <v>102</v>
      </c>
      <c r="AE228">
        <v>0</v>
      </c>
      <c r="AF228">
        <v>6</v>
      </c>
      <c r="AG228">
        <v>25</v>
      </c>
      <c r="AH228">
        <f>Table3[[#This Row],[Flies_per_Vial]]*Table3[[#This Row],[Vials_Total_UsedInMaze]]</f>
        <v>150</v>
      </c>
      <c r="AI228">
        <f>Table3[[#This Row],[total_Flies]]/Table3[[#This Row],[flies_in]]</f>
        <v>0.68</v>
      </c>
      <c r="AJ228"/>
      <c r="AK228" s="31">
        <f t="shared" si="21"/>
        <v>13.583333333333332</v>
      </c>
      <c r="AL228" s="31">
        <f t="shared" si="22"/>
        <v>17.683333333333334</v>
      </c>
      <c r="AM228" s="31">
        <f>Table3[[#This Row],[end_time_num]]-Table3[[#This Row],[start_time_num]]</f>
        <v>4.1000000000000014</v>
      </c>
      <c r="AN228" s="19" t="s">
        <v>147</v>
      </c>
    </row>
    <row r="229" spans="1:40" x14ac:dyDescent="0.35">
      <c r="A229" s="19">
        <v>13</v>
      </c>
      <c r="B229" s="19">
        <v>1</v>
      </c>
      <c r="C229" s="19" t="s">
        <v>155</v>
      </c>
      <c r="D229" t="s">
        <v>151</v>
      </c>
      <c r="E229" s="2">
        <v>0.56597222222222221</v>
      </c>
      <c r="F229" s="2">
        <v>0.74027777777777781</v>
      </c>
      <c r="G229" s="13">
        <v>0.1743055555555556</v>
      </c>
      <c r="H229" s="20" t="s">
        <v>142</v>
      </c>
      <c r="I229" s="19" t="s">
        <v>6</v>
      </c>
      <c r="J229" s="19">
        <v>2</v>
      </c>
      <c r="K229" s="19" t="s">
        <v>2</v>
      </c>
      <c r="L229" s="14" t="s">
        <v>0</v>
      </c>
      <c r="M229">
        <v>19</v>
      </c>
      <c r="N229">
        <v>18</v>
      </c>
      <c r="O229">
        <v>27</v>
      </c>
      <c r="P229">
        <v>7</v>
      </c>
      <c r="Q229">
        <v>7</v>
      </c>
      <c r="R229">
        <v>11</v>
      </c>
      <c r="S229">
        <v>3</v>
      </c>
      <c r="T229">
        <v>6</v>
      </c>
      <c r="U229">
        <v>15</v>
      </c>
      <c r="V229">
        <v>1</v>
      </c>
      <c r="W229">
        <v>2</v>
      </c>
      <c r="X229">
        <v>0</v>
      </c>
      <c r="Y229">
        <v>2</v>
      </c>
      <c r="Z229">
        <v>1</v>
      </c>
      <c r="AA229">
        <v>1</v>
      </c>
      <c r="AB229">
        <v>1</v>
      </c>
      <c r="AC229" s="18">
        <f>SUMPRODUCT(OG_Data!D$1:S$1, M229:AB229) /SUM(M229:AB229)</f>
        <v>4.7272727272727275</v>
      </c>
      <c r="AD229">
        <f t="shared" si="20"/>
        <v>121</v>
      </c>
      <c r="AE229">
        <v>0</v>
      </c>
      <c r="AF229">
        <v>6</v>
      </c>
      <c r="AG229">
        <v>25</v>
      </c>
      <c r="AH229">
        <f>Table3[[#This Row],[Flies_per_Vial]]*Table3[[#This Row],[Vials_Total_UsedInMaze]]</f>
        <v>150</v>
      </c>
      <c r="AI229">
        <f>Table3[[#This Row],[total_Flies]]/Table3[[#This Row],[flies_in]]</f>
        <v>0.80666666666666664</v>
      </c>
      <c r="AJ229"/>
      <c r="AK229" s="31">
        <f t="shared" si="21"/>
        <v>13.583333333333332</v>
      </c>
      <c r="AL229" s="31">
        <f t="shared" si="22"/>
        <v>17.766666666666666</v>
      </c>
      <c r="AM229" s="31">
        <f>Table3[[#This Row],[end_time_num]]-Table3[[#This Row],[start_time_num]]</f>
        <v>4.1833333333333336</v>
      </c>
      <c r="AN229" s="19" t="s">
        <v>147</v>
      </c>
    </row>
    <row r="230" spans="1:40" x14ac:dyDescent="0.35">
      <c r="A230" s="19">
        <v>13</v>
      </c>
      <c r="B230" s="19">
        <v>1</v>
      </c>
      <c r="C230" s="19" t="s">
        <v>155</v>
      </c>
      <c r="D230" t="s">
        <v>151</v>
      </c>
      <c r="E230" s="2">
        <v>0.56597222222222221</v>
      </c>
      <c r="F230" s="2">
        <v>0.74513888888888891</v>
      </c>
      <c r="G230" s="13">
        <v>0.1791666666666667</v>
      </c>
      <c r="H230" s="20" t="s">
        <v>142</v>
      </c>
      <c r="I230" s="19" t="s">
        <v>6</v>
      </c>
      <c r="J230" s="19">
        <v>2</v>
      </c>
      <c r="K230" s="19" t="s">
        <v>1</v>
      </c>
      <c r="L230" s="14" t="s">
        <v>3</v>
      </c>
      <c r="M230">
        <v>13</v>
      </c>
      <c r="N230">
        <v>10</v>
      </c>
      <c r="O230">
        <v>10</v>
      </c>
      <c r="P230">
        <v>11</v>
      </c>
      <c r="Q230" t="s">
        <v>74</v>
      </c>
      <c r="R230">
        <v>3</v>
      </c>
      <c r="S230">
        <v>6</v>
      </c>
      <c r="T230">
        <v>4</v>
      </c>
      <c r="U230">
        <v>5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 s="18">
        <f>SUMPRODUCT(OG_Data!D$1:S$1, M230:AB230) /SUM(M230:AB230)</f>
        <v>4.0952380952380949</v>
      </c>
      <c r="AD230">
        <f t="shared" si="20"/>
        <v>63</v>
      </c>
      <c r="AE230">
        <v>0</v>
      </c>
      <c r="AF230">
        <v>6</v>
      </c>
      <c r="AG230">
        <v>25</v>
      </c>
      <c r="AH230">
        <f>Table3[[#This Row],[Flies_per_Vial]]*Table3[[#This Row],[Vials_Total_UsedInMaze]]</f>
        <v>150</v>
      </c>
      <c r="AI230">
        <f>Table3[[#This Row],[total_Flies]]/Table3[[#This Row],[flies_in]]</f>
        <v>0.42</v>
      </c>
      <c r="AJ230"/>
      <c r="AK230" s="31">
        <f t="shared" si="21"/>
        <v>13.583333333333332</v>
      </c>
      <c r="AL230" s="31">
        <f t="shared" si="22"/>
        <v>17.883333333333333</v>
      </c>
      <c r="AM230" s="31">
        <f>Table3[[#This Row],[end_time_num]]-Table3[[#This Row],[start_time_num]]</f>
        <v>4.3000000000000007</v>
      </c>
      <c r="AN230" s="19" t="s">
        <v>147</v>
      </c>
    </row>
    <row r="231" spans="1:40" x14ac:dyDescent="0.35">
      <c r="A231" s="19">
        <v>13</v>
      </c>
      <c r="B231">
        <v>2</v>
      </c>
      <c r="C231" s="19" t="s">
        <v>154</v>
      </c>
      <c r="D231" t="s">
        <v>152</v>
      </c>
      <c r="E231" s="2">
        <v>0.39652777777777776</v>
      </c>
      <c r="F231" s="2">
        <v>0.52777777777777779</v>
      </c>
      <c r="G231" s="13">
        <v>0.13125000000000003</v>
      </c>
      <c r="H231" s="20" t="s">
        <v>136</v>
      </c>
      <c r="I231" s="19" t="s">
        <v>6</v>
      </c>
      <c r="J231">
        <v>3</v>
      </c>
      <c r="K231" s="19" t="s">
        <v>5</v>
      </c>
      <c r="L231" s="14" t="s">
        <v>3</v>
      </c>
      <c r="M231">
        <v>2</v>
      </c>
      <c r="N231">
        <v>1</v>
      </c>
      <c r="O231">
        <v>0</v>
      </c>
      <c r="P231">
        <v>1</v>
      </c>
      <c r="Q231">
        <v>6</v>
      </c>
      <c r="R231">
        <v>4</v>
      </c>
      <c r="S231">
        <v>4</v>
      </c>
      <c r="T231">
        <v>4</v>
      </c>
      <c r="U231">
        <v>4</v>
      </c>
      <c r="V231">
        <v>9</v>
      </c>
      <c r="W231">
        <v>16</v>
      </c>
      <c r="X231">
        <v>2</v>
      </c>
      <c r="Y231">
        <v>2</v>
      </c>
      <c r="Z231">
        <v>3</v>
      </c>
      <c r="AA231">
        <v>13</v>
      </c>
      <c r="AB231">
        <v>13</v>
      </c>
      <c r="AC231" s="18">
        <f>SUMPRODUCT(OG_Data!D$1:S$1, M231:AB231) /SUM(M231:AB231)</f>
        <v>10.94047619047619</v>
      </c>
      <c r="AD231">
        <f t="shared" si="20"/>
        <v>84</v>
      </c>
      <c r="AE231">
        <v>0</v>
      </c>
      <c r="AF231">
        <v>6</v>
      </c>
      <c r="AG231">
        <v>20</v>
      </c>
      <c r="AH231">
        <f>Table3[[#This Row],[Flies_per_Vial]]*Table3[[#This Row],[Vials_Total_UsedInMaze]]</f>
        <v>120</v>
      </c>
      <c r="AI231">
        <f>Table3[[#This Row],[total_Flies]]/Table3[[#This Row],[flies_in]]</f>
        <v>0.7</v>
      </c>
      <c r="AJ231"/>
      <c r="AK231" s="31">
        <f t="shared" si="21"/>
        <v>9.5166666666666657</v>
      </c>
      <c r="AL231" s="31">
        <f t="shared" si="22"/>
        <v>12.666666666666668</v>
      </c>
      <c r="AM231" s="31">
        <f>Table3[[#This Row],[end_time_num]]-Table3[[#This Row],[start_time_num]]</f>
        <v>3.1500000000000021</v>
      </c>
      <c r="AN231" s="19" t="s">
        <v>147</v>
      </c>
    </row>
    <row r="232" spans="1:40" x14ac:dyDescent="0.35">
      <c r="A232" s="19">
        <v>13</v>
      </c>
      <c r="B232">
        <v>2</v>
      </c>
      <c r="C232" s="19" t="s">
        <v>154</v>
      </c>
      <c r="D232" t="s">
        <v>152</v>
      </c>
      <c r="E232" s="2">
        <v>0.39652777777777776</v>
      </c>
      <c r="F232" s="2">
        <v>0.53125</v>
      </c>
      <c r="G232" s="13">
        <v>0.13472222222222224</v>
      </c>
      <c r="H232" s="20" t="s">
        <v>136</v>
      </c>
      <c r="I232" s="19" t="s">
        <v>6</v>
      </c>
      <c r="J232">
        <v>3</v>
      </c>
      <c r="K232" s="19" t="s">
        <v>4</v>
      </c>
      <c r="L232" s="14" t="s">
        <v>0</v>
      </c>
      <c r="M232">
        <v>2</v>
      </c>
      <c r="N232">
        <v>4</v>
      </c>
      <c r="O232">
        <v>0</v>
      </c>
      <c r="P232">
        <v>3</v>
      </c>
      <c r="Q232">
        <v>3</v>
      </c>
      <c r="R232">
        <v>4</v>
      </c>
      <c r="S232">
        <v>4</v>
      </c>
      <c r="T232">
        <v>2</v>
      </c>
      <c r="U232">
        <v>4</v>
      </c>
      <c r="V232">
        <v>3</v>
      </c>
      <c r="W232">
        <v>5</v>
      </c>
      <c r="X232">
        <v>7</v>
      </c>
      <c r="Y232">
        <v>7</v>
      </c>
      <c r="Z232">
        <v>3</v>
      </c>
      <c r="AA232">
        <v>0</v>
      </c>
      <c r="AB232">
        <v>0</v>
      </c>
      <c r="AC232" s="18">
        <f>SUMPRODUCT(OG_Data!D$1:S$1, M232:AB232) /SUM(M232:AB232)</f>
        <v>8.6862745098039209</v>
      </c>
      <c r="AD232">
        <f t="shared" si="20"/>
        <v>51</v>
      </c>
      <c r="AE232">
        <v>0</v>
      </c>
      <c r="AF232">
        <v>5</v>
      </c>
      <c r="AG232">
        <v>20</v>
      </c>
      <c r="AH232">
        <f>Table3[[#This Row],[Flies_per_Vial]]*Table3[[#This Row],[Vials_Total_UsedInMaze]]</f>
        <v>100</v>
      </c>
      <c r="AI232">
        <f>Table3[[#This Row],[total_Flies]]/Table3[[#This Row],[flies_in]]</f>
        <v>0.51</v>
      </c>
      <c r="AJ232"/>
      <c r="AK232" s="31">
        <f t="shared" si="21"/>
        <v>9.5166666666666657</v>
      </c>
      <c r="AL232" s="31">
        <f t="shared" si="22"/>
        <v>12.75</v>
      </c>
      <c r="AM232" s="31">
        <f>Table3[[#This Row],[end_time_num]]-Table3[[#This Row],[start_time_num]]</f>
        <v>3.2333333333333343</v>
      </c>
      <c r="AN232" s="19" t="s">
        <v>147</v>
      </c>
    </row>
    <row r="233" spans="1:40" x14ac:dyDescent="0.35">
      <c r="A233" s="19">
        <v>13</v>
      </c>
      <c r="B233">
        <v>2</v>
      </c>
      <c r="C233" s="19" t="s">
        <v>154</v>
      </c>
      <c r="D233" t="s">
        <v>152</v>
      </c>
      <c r="E233" s="2">
        <v>0.39652777777777776</v>
      </c>
      <c r="F233" s="2">
        <v>0.53541666666666665</v>
      </c>
      <c r="G233" s="13">
        <v>0.1388888888888889</v>
      </c>
      <c r="H233" s="20" t="s">
        <v>136</v>
      </c>
      <c r="I233" s="19" t="s">
        <v>6</v>
      </c>
      <c r="J233">
        <v>3</v>
      </c>
      <c r="K233" s="19" t="s">
        <v>2</v>
      </c>
      <c r="L233" s="14" t="s">
        <v>0</v>
      </c>
      <c r="M233">
        <v>7</v>
      </c>
      <c r="N233">
        <v>16</v>
      </c>
      <c r="O233">
        <v>17</v>
      </c>
      <c r="P233">
        <v>1</v>
      </c>
      <c r="Q233">
        <v>2</v>
      </c>
      <c r="R233">
        <v>7</v>
      </c>
      <c r="S233">
        <v>3</v>
      </c>
      <c r="T233">
        <v>1</v>
      </c>
      <c r="U233">
        <v>14</v>
      </c>
      <c r="V233">
        <v>5</v>
      </c>
      <c r="W233">
        <v>7</v>
      </c>
      <c r="X233">
        <v>0</v>
      </c>
      <c r="Y233">
        <v>0</v>
      </c>
      <c r="Z233">
        <v>0</v>
      </c>
      <c r="AA233">
        <v>0</v>
      </c>
      <c r="AB233">
        <v>0</v>
      </c>
      <c r="AC233" s="18">
        <f>SUMPRODUCT(OG_Data!D$1:S$1, M233:AB233) /SUM(M233:AB233)</f>
        <v>5.35</v>
      </c>
      <c r="AD233">
        <f t="shared" si="20"/>
        <v>80</v>
      </c>
      <c r="AE233">
        <v>0</v>
      </c>
      <c r="AF233">
        <v>4</v>
      </c>
      <c r="AG233">
        <v>20</v>
      </c>
      <c r="AH233">
        <f>Table3[[#This Row],[Flies_per_Vial]]*Table3[[#This Row],[Vials_Total_UsedInMaze]]</f>
        <v>80</v>
      </c>
      <c r="AI233">
        <f>Table3[[#This Row],[total_Flies]]/Table3[[#This Row],[flies_in]]</f>
        <v>1</v>
      </c>
      <c r="AJ233"/>
      <c r="AK233" s="31">
        <f t="shared" si="21"/>
        <v>9.5166666666666657</v>
      </c>
      <c r="AL233" s="31">
        <f t="shared" si="22"/>
        <v>12.85</v>
      </c>
      <c r="AM233" s="31">
        <f>Table3[[#This Row],[end_time_num]]-Table3[[#This Row],[start_time_num]]</f>
        <v>3.3333333333333339</v>
      </c>
      <c r="AN233" s="19" t="s">
        <v>147</v>
      </c>
    </row>
    <row r="234" spans="1:40" x14ac:dyDescent="0.35">
      <c r="A234" s="19">
        <v>13</v>
      </c>
      <c r="B234">
        <v>2</v>
      </c>
      <c r="C234" s="19" t="s">
        <v>154</v>
      </c>
      <c r="D234" t="s">
        <v>152</v>
      </c>
      <c r="E234" s="2">
        <v>0.39652777777777776</v>
      </c>
      <c r="F234" s="2">
        <v>0.53888888888888886</v>
      </c>
      <c r="G234" s="13">
        <v>0.1423611111111111</v>
      </c>
      <c r="H234" s="20" t="s">
        <v>136</v>
      </c>
      <c r="I234" s="19" t="s">
        <v>6</v>
      </c>
      <c r="J234">
        <v>3</v>
      </c>
      <c r="K234" s="19" t="s">
        <v>1</v>
      </c>
      <c r="L234" s="14" t="s">
        <v>3</v>
      </c>
      <c r="M234">
        <v>4</v>
      </c>
      <c r="N234">
        <v>4</v>
      </c>
      <c r="O234">
        <v>2</v>
      </c>
      <c r="P234">
        <v>6</v>
      </c>
      <c r="Q234">
        <v>5</v>
      </c>
      <c r="R234">
        <v>6</v>
      </c>
      <c r="S234">
        <v>5</v>
      </c>
      <c r="T234">
        <v>8</v>
      </c>
      <c r="U234">
        <v>8</v>
      </c>
      <c r="V234">
        <v>2</v>
      </c>
      <c r="W234">
        <v>6</v>
      </c>
      <c r="X234">
        <v>3</v>
      </c>
      <c r="Y234">
        <v>3</v>
      </c>
      <c r="Z234">
        <v>4</v>
      </c>
      <c r="AA234">
        <v>1</v>
      </c>
      <c r="AB234">
        <v>0</v>
      </c>
      <c r="AC234" s="18">
        <f>SUMPRODUCT(OG_Data!D$1:S$1, M234:AB234) /SUM(M234:AB234)</f>
        <v>7.5522388059701493</v>
      </c>
      <c r="AD234">
        <f t="shared" si="20"/>
        <v>67</v>
      </c>
      <c r="AE234">
        <v>0</v>
      </c>
      <c r="AF234">
        <v>5</v>
      </c>
      <c r="AG234">
        <v>20</v>
      </c>
      <c r="AH234">
        <f>Table3[[#This Row],[Flies_per_Vial]]*Table3[[#This Row],[Vials_Total_UsedInMaze]]</f>
        <v>100</v>
      </c>
      <c r="AI234">
        <f>Table3[[#This Row],[total_Flies]]/Table3[[#This Row],[flies_in]]</f>
        <v>0.67</v>
      </c>
      <c r="AJ234"/>
      <c r="AK234" s="31">
        <f t="shared" si="21"/>
        <v>9.5166666666666657</v>
      </c>
      <c r="AL234" s="31">
        <f t="shared" si="22"/>
        <v>12.933333333333334</v>
      </c>
      <c r="AM234" s="31">
        <f>Table3[[#This Row],[end_time_num]]-Table3[[#This Row],[start_time_num]]</f>
        <v>3.4166666666666679</v>
      </c>
      <c r="AN234" s="19" t="s">
        <v>147</v>
      </c>
    </row>
    <row r="235" spans="1:40" x14ac:dyDescent="0.35">
      <c r="A235" s="19">
        <v>13</v>
      </c>
      <c r="B235">
        <v>2</v>
      </c>
      <c r="C235" s="19" t="s">
        <v>155</v>
      </c>
      <c r="D235" t="s">
        <v>152</v>
      </c>
      <c r="E235" s="2">
        <v>0.55902777777777779</v>
      </c>
      <c r="F235" s="2">
        <v>0.69166666666666665</v>
      </c>
      <c r="G235" s="13">
        <v>0.13263888888888886</v>
      </c>
      <c r="H235" s="20" t="s">
        <v>142</v>
      </c>
      <c r="I235" s="19" t="s">
        <v>6</v>
      </c>
      <c r="J235">
        <v>4</v>
      </c>
      <c r="K235" s="19" t="s">
        <v>5</v>
      </c>
      <c r="L235" s="14" t="s">
        <v>3</v>
      </c>
      <c r="M235">
        <v>5</v>
      </c>
      <c r="N235">
        <v>4</v>
      </c>
      <c r="O235">
        <v>7</v>
      </c>
      <c r="P235">
        <v>0</v>
      </c>
      <c r="Q235">
        <v>6</v>
      </c>
      <c r="R235">
        <v>1</v>
      </c>
      <c r="S235">
        <v>1</v>
      </c>
      <c r="T235">
        <v>2</v>
      </c>
      <c r="U235">
        <v>3</v>
      </c>
      <c r="V235">
        <v>1</v>
      </c>
      <c r="W235">
        <v>3</v>
      </c>
      <c r="X235">
        <v>0</v>
      </c>
      <c r="Y235">
        <v>1</v>
      </c>
      <c r="Z235">
        <v>2</v>
      </c>
      <c r="AA235">
        <v>6</v>
      </c>
      <c r="AB235">
        <v>0</v>
      </c>
      <c r="AC235" s="18">
        <f>SUMPRODUCT(OG_Data!D$1:S$1, M235:AB235) /SUM(M235:AB235)</f>
        <v>7</v>
      </c>
      <c r="AD235">
        <f t="shared" si="20"/>
        <v>42</v>
      </c>
      <c r="AE235">
        <v>0</v>
      </c>
      <c r="AF235">
        <v>5</v>
      </c>
      <c r="AG235">
        <v>25</v>
      </c>
      <c r="AH235">
        <f>Table3[[#This Row],[Flies_per_Vial]]*Table3[[#This Row],[Vials_Total_UsedInMaze]]</f>
        <v>125</v>
      </c>
      <c r="AI235">
        <f>Table3[[#This Row],[total_Flies]]/Table3[[#This Row],[flies_in]]</f>
        <v>0.33600000000000002</v>
      </c>
      <c r="AJ235"/>
      <c r="AK235" s="31">
        <f t="shared" si="21"/>
        <v>13.416666666666668</v>
      </c>
      <c r="AL235" s="31">
        <f t="shared" si="22"/>
        <v>16.600000000000001</v>
      </c>
      <c r="AM235" s="31">
        <f>Table3[[#This Row],[end_time_num]]-Table3[[#This Row],[start_time_num]]</f>
        <v>3.1833333333333336</v>
      </c>
      <c r="AN235" s="19" t="s">
        <v>147</v>
      </c>
    </row>
    <row r="236" spans="1:40" x14ac:dyDescent="0.35">
      <c r="A236" s="19">
        <v>13</v>
      </c>
      <c r="B236">
        <v>2</v>
      </c>
      <c r="C236" s="19" t="s">
        <v>155</v>
      </c>
      <c r="D236" t="s">
        <v>152</v>
      </c>
      <c r="E236" s="2">
        <v>0.55902777777777779</v>
      </c>
      <c r="F236" s="2">
        <v>0.69374999999999998</v>
      </c>
      <c r="G236" s="13">
        <v>0.13472222222222219</v>
      </c>
      <c r="H236" s="20" t="s">
        <v>142</v>
      </c>
      <c r="I236" s="19" t="s">
        <v>6</v>
      </c>
      <c r="J236">
        <v>4</v>
      </c>
      <c r="K236" s="19" t="s">
        <v>4</v>
      </c>
      <c r="L236" s="14" t="s">
        <v>0</v>
      </c>
      <c r="M236">
        <v>6</v>
      </c>
      <c r="N236">
        <v>3</v>
      </c>
      <c r="O236">
        <v>1</v>
      </c>
      <c r="P236">
        <v>4</v>
      </c>
      <c r="Q236">
        <v>10</v>
      </c>
      <c r="R236">
        <v>6</v>
      </c>
      <c r="S236">
        <v>7</v>
      </c>
      <c r="T236">
        <v>7</v>
      </c>
      <c r="U236">
        <v>12</v>
      </c>
      <c r="V236">
        <v>6</v>
      </c>
      <c r="W236">
        <v>7</v>
      </c>
      <c r="X236">
        <v>7</v>
      </c>
      <c r="Y236">
        <v>7</v>
      </c>
      <c r="Z236">
        <v>2</v>
      </c>
      <c r="AA236">
        <v>1</v>
      </c>
      <c r="AB236">
        <v>0</v>
      </c>
      <c r="AC236" s="18">
        <f>SUMPRODUCT(OG_Data!D$1:S$1, M236:AB236) /SUM(M236:AB236)</f>
        <v>7.9651162790697674</v>
      </c>
      <c r="AD236">
        <f t="shared" si="20"/>
        <v>86</v>
      </c>
      <c r="AE236">
        <v>0</v>
      </c>
      <c r="AF236">
        <v>4</v>
      </c>
      <c r="AG236">
        <v>25</v>
      </c>
      <c r="AH236">
        <f>Table3[[#This Row],[Flies_per_Vial]]*Table3[[#This Row],[Vials_Total_UsedInMaze]]</f>
        <v>100</v>
      </c>
      <c r="AI236">
        <f>Table3[[#This Row],[total_Flies]]/Table3[[#This Row],[flies_in]]</f>
        <v>0.86</v>
      </c>
      <c r="AJ236"/>
      <c r="AK236" s="31">
        <f t="shared" si="21"/>
        <v>13.416666666666668</v>
      </c>
      <c r="AL236" s="31">
        <f t="shared" si="22"/>
        <v>16.649999999999999</v>
      </c>
      <c r="AM236" s="31">
        <f>Table3[[#This Row],[end_time_num]]-Table3[[#This Row],[start_time_num]]</f>
        <v>3.2333333333333307</v>
      </c>
      <c r="AN236" s="19" t="s">
        <v>147</v>
      </c>
    </row>
    <row r="237" spans="1:40" x14ac:dyDescent="0.35">
      <c r="A237" s="19">
        <v>13</v>
      </c>
      <c r="B237">
        <v>2</v>
      </c>
      <c r="C237" s="19" t="s">
        <v>155</v>
      </c>
      <c r="D237" t="s">
        <v>152</v>
      </c>
      <c r="E237" s="2">
        <v>0.55902777777777779</v>
      </c>
      <c r="F237" s="2">
        <v>0.69791666666666663</v>
      </c>
      <c r="G237" s="13">
        <v>0.13888888888888884</v>
      </c>
      <c r="H237" s="20" t="s">
        <v>142</v>
      </c>
      <c r="I237" s="19" t="s">
        <v>6</v>
      </c>
      <c r="J237">
        <v>4</v>
      </c>
      <c r="K237" s="19" t="s">
        <v>2</v>
      </c>
      <c r="L237" s="14" t="s">
        <v>0</v>
      </c>
      <c r="M237">
        <v>28</v>
      </c>
      <c r="N237">
        <v>22</v>
      </c>
      <c r="O237">
        <v>27</v>
      </c>
      <c r="P237">
        <v>1</v>
      </c>
      <c r="Q237">
        <v>3</v>
      </c>
      <c r="R237">
        <v>13</v>
      </c>
      <c r="S237">
        <v>11</v>
      </c>
      <c r="T237">
        <v>4</v>
      </c>
      <c r="U237">
        <v>7</v>
      </c>
      <c r="V237">
        <v>2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 s="18">
        <f>SUMPRODUCT(OG_Data!D$1:S$1, M237:AB237) /SUM(M237:AB237)</f>
        <v>3.8235294117647061</v>
      </c>
      <c r="AD237">
        <f t="shared" si="20"/>
        <v>119</v>
      </c>
      <c r="AE237">
        <v>0</v>
      </c>
      <c r="AF237">
        <v>5</v>
      </c>
      <c r="AG237">
        <v>25</v>
      </c>
      <c r="AH237">
        <f>Table3[[#This Row],[Flies_per_Vial]]*Table3[[#This Row],[Vials_Total_UsedInMaze]]</f>
        <v>125</v>
      </c>
      <c r="AI237">
        <f>Table3[[#This Row],[total_Flies]]/Table3[[#This Row],[flies_in]]</f>
        <v>0.95199999999999996</v>
      </c>
      <c r="AJ237"/>
      <c r="AK237" s="31">
        <f t="shared" si="21"/>
        <v>13.416666666666668</v>
      </c>
      <c r="AL237" s="31">
        <f t="shared" si="22"/>
        <v>16.75</v>
      </c>
      <c r="AM237" s="31">
        <f>Table3[[#This Row],[end_time_num]]-Table3[[#This Row],[start_time_num]]</f>
        <v>3.3333333333333321</v>
      </c>
      <c r="AN237" s="19" t="s">
        <v>147</v>
      </c>
    </row>
    <row r="238" spans="1:40" x14ac:dyDescent="0.35">
      <c r="A238" s="19">
        <v>13</v>
      </c>
      <c r="B238">
        <v>2</v>
      </c>
      <c r="C238" s="19" t="s">
        <v>155</v>
      </c>
      <c r="D238" t="s">
        <v>152</v>
      </c>
      <c r="E238" s="2">
        <v>0.55902777777777779</v>
      </c>
      <c r="F238" s="2">
        <v>0.70277777777777772</v>
      </c>
      <c r="G238" s="13">
        <v>0.14374999999999993</v>
      </c>
      <c r="H238" s="20" t="s">
        <v>142</v>
      </c>
      <c r="I238" s="19" t="s">
        <v>6</v>
      </c>
      <c r="J238">
        <v>4</v>
      </c>
      <c r="K238" s="19" t="s">
        <v>1</v>
      </c>
      <c r="L238" s="14" t="s">
        <v>3</v>
      </c>
      <c r="M238">
        <v>21</v>
      </c>
      <c r="N238">
        <v>3</v>
      </c>
      <c r="O238">
        <v>4</v>
      </c>
      <c r="P238">
        <v>6</v>
      </c>
      <c r="Q238">
        <v>4</v>
      </c>
      <c r="R238">
        <v>4</v>
      </c>
      <c r="S238">
        <v>1</v>
      </c>
      <c r="T238">
        <v>2</v>
      </c>
      <c r="U238">
        <v>4</v>
      </c>
      <c r="V238">
        <v>0</v>
      </c>
      <c r="W238">
        <v>0</v>
      </c>
      <c r="X238">
        <v>1</v>
      </c>
      <c r="Y238">
        <v>0</v>
      </c>
      <c r="Z238">
        <v>2</v>
      </c>
      <c r="AA238">
        <v>1</v>
      </c>
      <c r="AB238">
        <v>1</v>
      </c>
      <c r="AC238" s="18">
        <f>SUMPRODUCT(OG_Data!D$1:S$1, M238:AB238) /SUM(M238:AB238)</f>
        <v>4.3888888888888893</v>
      </c>
      <c r="AD238">
        <f t="shared" si="20"/>
        <v>54</v>
      </c>
      <c r="AE238">
        <v>0</v>
      </c>
      <c r="AF238">
        <v>6</v>
      </c>
      <c r="AG238">
        <v>25</v>
      </c>
      <c r="AH238">
        <f>Table3[[#This Row],[Flies_per_Vial]]*Table3[[#This Row],[Vials_Total_UsedInMaze]]</f>
        <v>150</v>
      </c>
      <c r="AI238">
        <f>Table3[[#This Row],[total_Flies]]/Table3[[#This Row],[flies_in]]</f>
        <v>0.36</v>
      </c>
      <c r="AJ238"/>
      <c r="AK238" s="31">
        <f t="shared" si="21"/>
        <v>13.416666666666668</v>
      </c>
      <c r="AL238" s="31">
        <f t="shared" si="22"/>
        <v>16.866666666666667</v>
      </c>
      <c r="AM238" s="31">
        <f>Table3[[#This Row],[end_time_num]]-Table3[[#This Row],[start_time_num]]</f>
        <v>3.4499999999999993</v>
      </c>
      <c r="AN238" s="19" t="s">
        <v>147</v>
      </c>
    </row>
    <row r="239" spans="1:40" x14ac:dyDescent="0.35">
      <c r="A239">
        <v>14</v>
      </c>
      <c r="B239" s="19">
        <v>1</v>
      </c>
      <c r="C239" s="19" t="s">
        <v>154</v>
      </c>
      <c r="D239" t="s">
        <v>153</v>
      </c>
      <c r="E239" s="2">
        <v>0.40625</v>
      </c>
      <c r="F239" s="2">
        <v>0.52013888888888893</v>
      </c>
      <c r="G239" s="13">
        <v>0.11388888888888893</v>
      </c>
      <c r="H239" s="20" t="s">
        <v>136</v>
      </c>
      <c r="I239" s="19" t="s">
        <v>6</v>
      </c>
      <c r="J239" s="19">
        <v>2</v>
      </c>
      <c r="K239" s="19" t="s">
        <v>5</v>
      </c>
      <c r="L239" s="14" t="s">
        <v>0</v>
      </c>
      <c r="M239">
        <v>5</v>
      </c>
      <c r="N239">
        <v>7</v>
      </c>
      <c r="O239">
        <v>7</v>
      </c>
      <c r="P239">
        <v>1</v>
      </c>
      <c r="Q239">
        <v>7</v>
      </c>
      <c r="R239">
        <v>9</v>
      </c>
      <c r="S239">
        <v>5</v>
      </c>
      <c r="T239">
        <v>11</v>
      </c>
      <c r="U239">
        <v>9</v>
      </c>
      <c r="V239">
        <v>4</v>
      </c>
      <c r="W239">
        <v>8</v>
      </c>
      <c r="X239">
        <v>2</v>
      </c>
      <c r="Y239">
        <v>1</v>
      </c>
      <c r="Z239">
        <v>1</v>
      </c>
      <c r="AA239">
        <v>3</v>
      </c>
      <c r="AB239">
        <v>6</v>
      </c>
      <c r="AC239" s="18">
        <f>SUMPRODUCT(OG_Data!D$1:S$1, M239:AB239) /SUM(M239:AB239)</f>
        <v>7.6395348837209305</v>
      </c>
      <c r="AD239">
        <f t="shared" ref="AD239:AD247" si="23">SUM(M239:AB239)</f>
        <v>86</v>
      </c>
      <c r="AE239">
        <v>0</v>
      </c>
      <c r="AF239">
        <v>6</v>
      </c>
      <c r="AG239">
        <v>25</v>
      </c>
      <c r="AH239">
        <f>Table3[[#This Row],[Flies_per_Vial]]*Table3[[#This Row],[Vials_Total_UsedInMaze]]</f>
        <v>150</v>
      </c>
      <c r="AI239">
        <f>Table3[[#This Row],[total_Flies]]/Table3[[#This Row],[flies_in]]</f>
        <v>0.57333333333333336</v>
      </c>
      <c r="AJ239"/>
      <c r="AK239" s="31">
        <f t="shared" ref="AK239:AK247" si="24">24*E239</f>
        <v>9.75</v>
      </c>
      <c r="AL239" s="31">
        <f t="shared" ref="AL239:AL247" si="25">24*F239</f>
        <v>12.483333333333334</v>
      </c>
      <c r="AM239" s="31">
        <f>Table3[[#This Row],[end_time_num]]-Table3[[#This Row],[start_time_num]]</f>
        <v>2.7333333333333343</v>
      </c>
      <c r="AN239" s="19" t="s">
        <v>147</v>
      </c>
    </row>
    <row r="240" spans="1:40" x14ac:dyDescent="0.35">
      <c r="A240">
        <v>14</v>
      </c>
      <c r="B240" s="19">
        <v>1</v>
      </c>
      <c r="C240" s="19" t="s">
        <v>154</v>
      </c>
      <c r="D240" t="s">
        <v>153</v>
      </c>
      <c r="E240" s="2">
        <v>0.40625</v>
      </c>
      <c r="F240" s="2">
        <v>0.52500000000000002</v>
      </c>
      <c r="G240" s="13">
        <v>0.11875000000000002</v>
      </c>
      <c r="H240" s="20" t="s">
        <v>136</v>
      </c>
      <c r="I240" s="19" t="s">
        <v>6</v>
      </c>
      <c r="J240" s="19">
        <v>2</v>
      </c>
      <c r="K240" s="19" t="s">
        <v>4</v>
      </c>
      <c r="L240" s="14" t="s">
        <v>3</v>
      </c>
      <c r="M240">
        <v>5</v>
      </c>
      <c r="N240">
        <v>2</v>
      </c>
      <c r="O240">
        <v>4</v>
      </c>
      <c r="P240">
        <v>1</v>
      </c>
      <c r="Q240">
        <v>2</v>
      </c>
      <c r="R240">
        <v>2</v>
      </c>
      <c r="S240">
        <v>9</v>
      </c>
      <c r="T240">
        <v>13</v>
      </c>
      <c r="U240">
        <v>9</v>
      </c>
      <c r="V240">
        <v>11</v>
      </c>
      <c r="W240">
        <v>6</v>
      </c>
      <c r="X240">
        <v>7</v>
      </c>
      <c r="Y240">
        <v>6</v>
      </c>
      <c r="Z240">
        <v>3</v>
      </c>
      <c r="AA240">
        <v>1</v>
      </c>
      <c r="AB240">
        <v>3</v>
      </c>
      <c r="AC240" s="18">
        <f>SUMPRODUCT(OG_Data!D$1:S$1, M240:AB240) /SUM(M240:AB240)</f>
        <v>8.7857142857142865</v>
      </c>
      <c r="AD240">
        <f t="shared" si="23"/>
        <v>84</v>
      </c>
      <c r="AE240">
        <v>0</v>
      </c>
      <c r="AF240">
        <v>6</v>
      </c>
      <c r="AG240">
        <v>25</v>
      </c>
      <c r="AH240">
        <f>Table3[[#This Row],[Flies_per_Vial]]*Table3[[#This Row],[Vials_Total_UsedInMaze]]</f>
        <v>150</v>
      </c>
      <c r="AI240">
        <f>Table3[[#This Row],[total_Flies]]/Table3[[#This Row],[flies_in]]</f>
        <v>0.56000000000000005</v>
      </c>
      <c r="AJ240"/>
      <c r="AK240" s="31">
        <f t="shared" si="24"/>
        <v>9.75</v>
      </c>
      <c r="AL240" s="31">
        <f t="shared" si="25"/>
        <v>12.600000000000001</v>
      </c>
      <c r="AM240" s="31">
        <f>Table3[[#This Row],[end_time_num]]-Table3[[#This Row],[start_time_num]]</f>
        <v>2.8500000000000014</v>
      </c>
      <c r="AN240" s="19" t="s">
        <v>147</v>
      </c>
    </row>
    <row r="241" spans="1:40" x14ac:dyDescent="0.35">
      <c r="A241">
        <v>14</v>
      </c>
      <c r="B241" s="19">
        <v>1</v>
      </c>
      <c r="C241" s="19" t="s">
        <v>154</v>
      </c>
      <c r="D241" t="s">
        <v>153</v>
      </c>
      <c r="E241" s="2">
        <v>0.40625</v>
      </c>
      <c r="F241" s="2">
        <v>0.52847222222222223</v>
      </c>
      <c r="G241" s="13">
        <v>0.12222222222222223</v>
      </c>
      <c r="H241" s="20" t="s">
        <v>136</v>
      </c>
      <c r="I241" s="19" t="s">
        <v>6</v>
      </c>
      <c r="J241" s="19">
        <v>2</v>
      </c>
      <c r="K241" s="19" t="s">
        <v>2</v>
      </c>
      <c r="L241" s="14" t="s">
        <v>3</v>
      </c>
      <c r="M241">
        <v>15</v>
      </c>
      <c r="N241">
        <v>13</v>
      </c>
      <c r="O241">
        <v>19</v>
      </c>
      <c r="P241">
        <v>1</v>
      </c>
      <c r="Q241">
        <v>6</v>
      </c>
      <c r="R241">
        <v>17</v>
      </c>
      <c r="S241">
        <v>3</v>
      </c>
      <c r="T241">
        <v>9</v>
      </c>
      <c r="U241">
        <v>19</v>
      </c>
      <c r="V241">
        <v>6</v>
      </c>
      <c r="W241">
        <v>7</v>
      </c>
      <c r="X241">
        <v>2</v>
      </c>
      <c r="Y241">
        <v>2</v>
      </c>
      <c r="Z241">
        <v>0</v>
      </c>
      <c r="AA241">
        <v>0</v>
      </c>
      <c r="AB241">
        <v>0</v>
      </c>
      <c r="AC241" s="18">
        <f>SUMPRODUCT(OG_Data!D$1:S$1, M241:AB241) /SUM(M241:AB241)</f>
        <v>5.7563025210084033</v>
      </c>
      <c r="AD241">
        <f t="shared" si="23"/>
        <v>119</v>
      </c>
      <c r="AE241">
        <v>0</v>
      </c>
      <c r="AF241">
        <v>6</v>
      </c>
      <c r="AG241">
        <v>25</v>
      </c>
      <c r="AH241">
        <f>Table3[[#This Row],[Flies_per_Vial]]*Table3[[#This Row],[Vials_Total_UsedInMaze]]</f>
        <v>150</v>
      </c>
      <c r="AI241">
        <f>Table3[[#This Row],[total_Flies]]/Table3[[#This Row],[flies_in]]</f>
        <v>0.79333333333333333</v>
      </c>
      <c r="AJ241"/>
      <c r="AK241" s="31">
        <f t="shared" si="24"/>
        <v>9.75</v>
      </c>
      <c r="AL241" s="31">
        <f t="shared" si="25"/>
        <v>12.683333333333334</v>
      </c>
      <c r="AM241" s="31">
        <f>Table3[[#This Row],[end_time_num]]-Table3[[#This Row],[start_time_num]]</f>
        <v>2.9333333333333336</v>
      </c>
      <c r="AN241" s="19" t="s">
        <v>147</v>
      </c>
    </row>
    <row r="242" spans="1:40" x14ac:dyDescent="0.35">
      <c r="A242">
        <v>14</v>
      </c>
      <c r="B242" s="19">
        <v>1</v>
      </c>
      <c r="C242" s="19" t="s">
        <v>154</v>
      </c>
      <c r="D242" t="s">
        <v>153</v>
      </c>
      <c r="E242" s="2">
        <v>0.40625</v>
      </c>
      <c r="F242" s="2">
        <v>0.53333333333333333</v>
      </c>
      <c r="G242" s="13">
        <v>0.12708333333333333</v>
      </c>
      <c r="H242" s="20" t="s">
        <v>136</v>
      </c>
      <c r="I242" s="19" t="s">
        <v>6</v>
      </c>
      <c r="J242" s="19">
        <v>2</v>
      </c>
      <c r="K242" s="19" t="s">
        <v>1</v>
      </c>
      <c r="L242" s="14" t="s">
        <v>0</v>
      </c>
      <c r="M242">
        <v>11</v>
      </c>
      <c r="N242">
        <v>15</v>
      </c>
      <c r="O242">
        <v>11</v>
      </c>
      <c r="P242">
        <v>11</v>
      </c>
      <c r="Q242">
        <v>11</v>
      </c>
      <c r="R242">
        <v>10</v>
      </c>
      <c r="S242">
        <v>9</v>
      </c>
      <c r="T242">
        <v>8</v>
      </c>
      <c r="U242">
        <v>8</v>
      </c>
      <c r="V242">
        <v>0</v>
      </c>
      <c r="W242">
        <v>8</v>
      </c>
      <c r="X242">
        <v>1</v>
      </c>
      <c r="Y242">
        <v>1</v>
      </c>
      <c r="Z242">
        <v>0</v>
      </c>
      <c r="AA242">
        <v>0</v>
      </c>
      <c r="AB242">
        <v>0</v>
      </c>
      <c r="AC242" s="18">
        <f>SUMPRODUCT(OG_Data!D$1:S$1, M242:AB242) /SUM(M242:AB242)</f>
        <v>5.240384615384615</v>
      </c>
      <c r="AD242">
        <f t="shared" si="23"/>
        <v>104</v>
      </c>
      <c r="AE242">
        <v>0</v>
      </c>
      <c r="AF242">
        <v>6</v>
      </c>
      <c r="AG242">
        <v>25</v>
      </c>
      <c r="AH242">
        <f>Table3[[#This Row],[Flies_per_Vial]]*Table3[[#This Row],[Vials_Total_UsedInMaze]]</f>
        <v>150</v>
      </c>
      <c r="AI242">
        <f>Table3[[#This Row],[total_Flies]]/Table3[[#This Row],[flies_in]]</f>
        <v>0.69333333333333336</v>
      </c>
      <c r="AJ242"/>
      <c r="AK242" s="31">
        <f t="shared" si="24"/>
        <v>9.75</v>
      </c>
      <c r="AL242" s="31">
        <f t="shared" si="25"/>
        <v>12.8</v>
      </c>
      <c r="AM242" s="31">
        <f>Table3[[#This Row],[end_time_num]]-Table3[[#This Row],[start_time_num]]</f>
        <v>3.0500000000000007</v>
      </c>
      <c r="AN242" s="19" t="s">
        <v>147</v>
      </c>
    </row>
    <row r="243" spans="1:40" x14ac:dyDescent="0.35">
      <c r="A243">
        <v>14</v>
      </c>
      <c r="B243" s="19">
        <v>1</v>
      </c>
      <c r="C243" s="19" t="s">
        <v>155</v>
      </c>
      <c r="D243" t="s">
        <v>153</v>
      </c>
      <c r="E243" s="2">
        <v>0.55208333333333337</v>
      </c>
      <c r="F243" s="2">
        <v>0.69305555555555554</v>
      </c>
      <c r="G243" s="13">
        <v>0.14097222222222217</v>
      </c>
      <c r="H243" s="20" t="s">
        <v>142</v>
      </c>
      <c r="I243" s="19" t="s">
        <v>6</v>
      </c>
      <c r="J243" s="19">
        <v>1</v>
      </c>
      <c r="K243" s="19" t="s">
        <v>5</v>
      </c>
      <c r="L243" s="14" t="s">
        <v>0</v>
      </c>
      <c r="M243">
        <v>10</v>
      </c>
      <c r="N243">
        <v>3</v>
      </c>
      <c r="O243">
        <v>12</v>
      </c>
      <c r="P243">
        <v>1</v>
      </c>
      <c r="Q243">
        <v>17</v>
      </c>
      <c r="R243">
        <v>8</v>
      </c>
      <c r="S243">
        <v>5</v>
      </c>
      <c r="T243">
        <v>12</v>
      </c>
      <c r="U243">
        <v>6</v>
      </c>
      <c r="V243">
        <v>13</v>
      </c>
      <c r="W243">
        <v>5</v>
      </c>
      <c r="X243">
        <v>1</v>
      </c>
      <c r="Y243">
        <v>6</v>
      </c>
      <c r="Z243">
        <v>3</v>
      </c>
      <c r="AA243">
        <v>7</v>
      </c>
      <c r="AB243">
        <v>10</v>
      </c>
      <c r="AC243" s="18">
        <f>SUMPRODUCT(OG_Data!D$1:S$1, M243:AB243) /SUM(M243:AB243)</f>
        <v>8.0336134453781511</v>
      </c>
      <c r="AD243">
        <f t="shared" si="23"/>
        <v>119</v>
      </c>
      <c r="AE243">
        <v>0</v>
      </c>
      <c r="AF243">
        <v>6</v>
      </c>
      <c r="AG243">
        <v>25</v>
      </c>
      <c r="AH243">
        <f>Table3[[#This Row],[Flies_per_Vial]]*Table3[[#This Row],[Vials_Total_UsedInMaze]]</f>
        <v>150</v>
      </c>
      <c r="AI243">
        <f>Table3[[#This Row],[total_Flies]]/Table3[[#This Row],[flies_in]]</f>
        <v>0.79333333333333333</v>
      </c>
      <c r="AJ243"/>
      <c r="AK243" s="31">
        <f t="shared" si="24"/>
        <v>13.25</v>
      </c>
      <c r="AL243" s="31">
        <f t="shared" si="25"/>
        <v>16.633333333333333</v>
      </c>
      <c r="AM243" s="31">
        <f>Table3[[#This Row],[end_time_num]]-Table3[[#This Row],[start_time_num]]</f>
        <v>3.3833333333333329</v>
      </c>
      <c r="AN243" s="19" t="s">
        <v>147</v>
      </c>
    </row>
    <row r="244" spans="1:40" x14ac:dyDescent="0.35">
      <c r="A244">
        <v>14</v>
      </c>
      <c r="B244" s="19">
        <v>1</v>
      </c>
      <c r="C244" s="19" t="s">
        <v>155</v>
      </c>
      <c r="D244" t="s">
        <v>153</v>
      </c>
      <c r="E244" s="2">
        <v>0.55208333333333337</v>
      </c>
      <c r="F244" s="2">
        <v>0.69791666666666663</v>
      </c>
      <c r="G244" s="13">
        <v>0.14583333333333326</v>
      </c>
      <c r="H244" s="20" t="s">
        <v>142</v>
      </c>
      <c r="I244" s="19" t="s">
        <v>6</v>
      </c>
      <c r="J244" s="19">
        <v>1</v>
      </c>
      <c r="K244" s="19" t="s">
        <v>4</v>
      </c>
      <c r="L244" s="14" t="s">
        <v>3</v>
      </c>
      <c r="M244">
        <v>14</v>
      </c>
      <c r="N244">
        <v>4</v>
      </c>
      <c r="O244">
        <v>5</v>
      </c>
      <c r="P244">
        <v>5</v>
      </c>
      <c r="Q244">
        <v>0</v>
      </c>
      <c r="R244">
        <v>1</v>
      </c>
      <c r="S244">
        <v>7</v>
      </c>
      <c r="T244">
        <v>9</v>
      </c>
      <c r="U244">
        <v>5</v>
      </c>
      <c r="V244">
        <v>5</v>
      </c>
      <c r="W244">
        <v>0</v>
      </c>
      <c r="X244">
        <v>1</v>
      </c>
      <c r="Y244">
        <v>5</v>
      </c>
      <c r="Z244">
        <v>3</v>
      </c>
      <c r="AA244">
        <v>1</v>
      </c>
      <c r="AB244">
        <v>0</v>
      </c>
      <c r="AC244" s="18">
        <f>SUMPRODUCT(OG_Data!D$1:S$1, M244:AB244) /SUM(M244:AB244)</f>
        <v>6.3538461538461535</v>
      </c>
      <c r="AD244">
        <f t="shared" si="23"/>
        <v>65</v>
      </c>
      <c r="AE244">
        <v>0</v>
      </c>
      <c r="AF244">
        <v>6</v>
      </c>
      <c r="AG244">
        <v>25</v>
      </c>
      <c r="AH244">
        <f>Table3[[#This Row],[Flies_per_Vial]]*Table3[[#This Row],[Vials_Total_UsedInMaze]]</f>
        <v>150</v>
      </c>
      <c r="AI244">
        <f>Table3[[#This Row],[total_Flies]]/Table3[[#This Row],[flies_in]]</f>
        <v>0.43333333333333335</v>
      </c>
      <c r="AJ244"/>
      <c r="AK244" s="31">
        <f t="shared" si="24"/>
        <v>13.25</v>
      </c>
      <c r="AL244" s="31">
        <f t="shared" si="25"/>
        <v>16.75</v>
      </c>
      <c r="AM244" s="31">
        <f>Table3[[#This Row],[end_time_num]]-Table3[[#This Row],[start_time_num]]</f>
        <v>3.5</v>
      </c>
      <c r="AN244" s="19" t="s">
        <v>147</v>
      </c>
    </row>
    <row r="245" spans="1:40" x14ac:dyDescent="0.35">
      <c r="A245">
        <v>14</v>
      </c>
      <c r="B245" s="19">
        <v>1</v>
      </c>
      <c r="C245" s="19" t="s">
        <v>155</v>
      </c>
      <c r="D245" t="s">
        <v>153</v>
      </c>
      <c r="E245" s="2">
        <v>0.55208333333333337</v>
      </c>
      <c r="F245" s="2">
        <v>0.70138888888888884</v>
      </c>
      <c r="G245" s="13">
        <v>0.14930555555555547</v>
      </c>
      <c r="H245" s="20" t="s">
        <v>142</v>
      </c>
      <c r="I245" s="19" t="s">
        <v>6</v>
      </c>
      <c r="J245" s="19">
        <v>1</v>
      </c>
      <c r="K245" s="19" t="s">
        <v>2</v>
      </c>
      <c r="L245" s="14" t="s">
        <v>3</v>
      </c>
      <c r="M245">
        <v>20</v>
      </c>
      <c r="N245">
        <v>9</v>
      </c>
      <c r="O245">
        <v>18</v>
      </c>
      <c r="P245">
        <v>3</v>
      </c>
      <c r="Q245">
        <v>7</v>
      </c>
      <c r="R245">
        <v>16</v>
      </c>
      <c r="S245">
        <v>4</v>
      </c>
      <c r="T245">
        <v>5</v>
      </c>
      <c r="U245">
        <v>7</v>
      </c>
      <c r="V245">
        <v>0</v>
      </c>
      <c r="W245">
        <v>3</v>
      </c>
      <c r="X245">
        <v>1</v>
      </c>
      <c r="Y245">
        <v>1</v>
      </c>
      <c r="Z245">
        <v>0</v>
      </c>
      <c r="AA245">
        <v>0</v>
      </c>
      <c r="AB245">
        <v>0</v>
      </c>
      <c r="AC245" s="18">
        <f>SUMPRODUCT(OG_Data!D$1:S$1, M245:AB245) /SUM(M245:AB245)</f>
        <v>4.5106382978723403</v>
      </c>
      <c r="AD245">
        <f t="shared" si="23"/>
        <v>94</v>
      </c>
      <c r="AE245">
        <v>0</v>
      </c>
      <c r="AF245">
        <v>6</v>
      </c>
      <c r="AG245">
        <v>25</v>
      </c>
      <c r="AH245">
        <f>Table3[[#This Row],[Flies_per_Vial]]*Table3[[#This Row],[Vials_Total_UsedInMaze]]</f>
        <v>150</v>
      </c>
      <c r="AI245">
        <f>Table3[[#This Row],[total_Flies]]/Table3[[#This Row],[flies_in]]</f>
        <v>0.62666666666666671</v>
      </c>
      <c r="AJ245"/>
      <c r="AK245" s="31">
        <f t="shared" si="24"/>
        <v>13.25</v>
      </c>
      <c r="AL245" s="31">
        <f t="shared" si="25"/>
        <v>16.833333333333332</v>
      </c>
      <c r="AM245" s="31">
        <f>Table3[[#This Row],[end_time_num]]-Table3[[#This Row],[start_time_num]]</f>
        <v>3.5833333333333321</v>
      </c>
      <c r="AN245" s="19" t="s">
        <v>147</v>
      </c>
    </row>
    <row r="246" spans="1:40" x14ac:dyDescent="0.35">
      <c r="A246">
        <v>14</v>
      </c>
      <c r="B246" s="19">
        <v>1</v>
      </c>
      <c r="C246" s="19" t="s">
        <v>155</v>
      </c>
      <c r="D246" t="s">
        <v>153</v>
      </c>
      <c r="E246" s="2">
        <v>0.55208333333333337</v>
      </c>
      <c r="F246" s="2">
        <v>0.70416666666666672</v>
      </c>
      <c r="G246" s="13">
        <v>0.15208333333333335</v>
      </c>
      <c r="H246" s="20" t="s">
        <v>142</v>
      </c>
      <c r="I246" s="19" t="s">
        <v>6</v>
      </c>
      <c r="J246" s="19">
        <v>1</v>
      </c>
      <c r="K246" s="19" t="s">
        <v>1</v>
      </c>
      <c r="L246" s="14" t="s">
        <v>0</v>
      </c>
      <c r="M246">
        <v>11</v>
      </c>
      <c r="N246">
        <v>12</v>
      </c>
      <c r="O246">
        <v>8</v>
      </c>
      <c r="P246">
        <v>9</v>
      </c>
      <c r="Q246">
        <v>11</v>
      </c>
      <c r="R246">
        <v>4</v>
      </c>
      <c r="S246">
        <v>12</v>
      </c>
      <c r="T246">
        <v>13</v>
      </c>
      <c r="U246">
        <v>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s="18">
        <f>SUMPRODUCT(OG_Data!D$1:S$1, M246:AB246) /SUM(M246:AB246)</f>
        <v>4.7882352941176469</v>
      </c>
      <c r="AD246">
        <f t="shared" si="23"/>
        <v>85</v>
      </c>
      <c r="AE246">
        <v>0</v>
      </c>
      <c r="AF246">
        <v>5</v>
      </c>
      <c r="AG246">
        <v>25</v>
      </c>
      <c r="AH246">
        <f>Table3[[#This Row],[Flies_per_Vial]]*Table3[[#This Row],[Vials_Total_UsedInMaze]]</f>
        <v>125</v>
      </c>
      <c r="AI246">
        <f>Table3[[#This Row],[total_Flies]]/Table3[[#This Row],[flies_in]]</f>
        <v>0.68</v>
      </c>
      <c r="AJ246"/>
      <c r="AK246" s="31">
        <f t="shared" si="24"/>
        <v>13.25</v>
      </c>
      <c r="AL246" s="31">
        <f t="shared" si="25"/>
        <v>16.900000000000002</v>
      </c>
      <c r="AM246" s="31">
        <f>Table3[[#This Row],[end_time_num]]-Table3[[#This Row],[start_time_num]]</f>
        <v>3.6500000000000021</v>
      </c>
      <c r="AN246" s="19" t="s">
        <v>147</v>
      </c>
    </row>
    <row r="247" spans="1:40" x14ac:dyDescent="0.35">
      <c r="A247">
        <v>14</v>
      </c>
      <c r="B247">
        <v>2</v>
      </c>
      <c r="C247" s="19" t="s">
        <v>154</v>
      </c>
      <c r="D247" t="s">
        <v>153</v>
      </c>
      <c r="E247" s="2">
        <v>0.39583333333333331</v>
      </c>
      <c r="F247" s="2">
        <v>0.52638888888888891</v>
      </c>
      <c r="G247" s="13">
        <v>0.13055555555555559</v>
      </c>
      <c r="H247" s="20" t="s">
        <v>136</v>
      </c>
      <c r="I247" s="19" t="s">
        <v>6</v>
      </c>
      <c r="J247">
        <v>4</v>
      </c>
      <c r="K247" s="19" t="s">
        <v>5</v>
      </c>
      <c r="L247" s="14" t="s">
        <v>0</v>
      </c>
      <c r="M247">
        <v>6</v>
      </c>
      <c r="N247">
        <v>4</v>
      </c>
      <c r="O247">
        <v>7</v>
      </c>
      <c r="P247">
        <v>5</v>
      </c>
      <c r="Q247">
        <v>13</v>
      </c>
      <c r="R247">
        <v>11</v>
      </c>
      <c r="S247">
        <v>10</v>
      </c>
      <c r="T247">
        <v>8</v>
      </c>
      <c r="U247">
        <v>5</v>
      </c>
      <c r="V247">
        <v>11</v>
      </c>
      <c r="W247">
        <v>6</v>
      </c>
      <c r="X247">
        <v>3</v>
      </c>
      <c r="Y247">
        <v>3</v>
      </c>
      <c r="Z247">
        <v>3</v>
      </c>
      <c r="AA247">
        <v>9</v>
      </c>
      <c r="AB247">
        <v>0</v>
      </c>
      <c r="AC247" s="18">
        <f>SUMPRODUCT(OG_Data!D$1:S$1, M247:AB247) /SUM(M247:AB247)</f>
        <v>7.625</v>
      </c>
      <c r="AD247">
        <f t="shared" si="23"/>
        <v>104</v>
      </c>
      <c r="AE247">
        <v>0</v>
      </c>
      <c r="AF247">
        <v>6</v>
      </c>
      <c r="AG247">
        <v>25</v>
      </c>
      <c r="AH247">
        <f>Table3[[#This Row],[Flies_per_Vial]]*Table3[[#This Row],[Vials_Total_UsedInMaze]]</f>
        <v>150</v>
      </c>
      <c r="AI247">
        <f>Table3[[#This Row],[total_Flies]]/Table3[[#This Row],[flies_in]]</f>
        <v>0.69333333333333336</v>
      </c>
      <c r="AJ247"/>
      <c r="AK247" s="31">
        <f t="shared" si="24"/>
        <v>9.5</v>
      </c>
      <c r="AL247" s="31">
        <f t="shared" si="25"/>
        <v>12.633333333333333</v>
      </c>
      <c r="AM247" s="31">
        <f>Table3[[#This Row],[end_time_num]]-Table3[[#This Row],[start_time_num]]</f>
        <v>3.1333333333333329</v>
      </c>
      <c r="AN247" s="19" t="s">
        <v>147</v>
      </c>
    </row>
    <row r="248" spans="1:40" x14ac:dyDescent="0.35">
      <c r="A248">
        <v>14</v>
      </c>
      <c r="B248">
        <v>2</v>
      </c>
      <c r="C248" s="19" t="s">
        <v>154</v>
      </c>
      <c r="D248" t="s">
        <v>153</v>
      </c>
      <c r="E248" s="2">
        <v>0.39583333333333331</v>
      </c>
      <c r="F248" s="2">
        <v>0.53055555555555556</v>
      </c>
      <c r="G248" s="13">
        <v>0.13472222222222224</v>
      </c>
      <c r="H248" s="20" t="s">
        <v>136</v>
      </c>
      <c r="I248" s="19" t="s">
        <v>6</v>
      </c>
      <c r="J248">
        <v>4</v>
      </c>
      <c r="K248" s="19" t="s">
        <v>4</v>
      </c>
      <c r="L248" s="14" t="s">
        <v>3</v>
      </c>
      <c r="M248">
        <v>4</v>
      </c>
      <c r="N248">
        <v>2</v>
      </c>
      <c r="O248">
        <v>5</v>
      </c>
      <c r="P248">
        <v>2</v>
      </c>
      <c r="Q248">
        <v>6</v>
      </c>
      <c r="R248">
        <v>3</v>
      </c>
      <c r="S248">
        <v>5</v>
      </c>
      <c r="T248">
        <v>15</v>
      </c>
      <c r="U248">
        <v>9</v>
      </c>
      <c r="V248">
        <v>4</v>
      </c>
      <c r="W248">
        <v>12</v>
      </c>
      <c r="X248">
        <v>8</v>
      </c>
      <c r="Y248">
        <v>8</v>
      </c>
      <c r="Z248">
        <v>1</v>
      </c>
      <c r="AA248">
        <v>4</v>
      </c>
      <c r="AB248">
        <v>1</v>
      </c>
      <c r="AC248" s="18">
        <f>SUMPRODUCT(OG_Data!D$1:S$1, M248:AB248) /SUM(M248:AB248)</f>
        <v>8.7303370786516847</v>
      </c>
      <c r="AD248">
        <f t="shared" ref="AD248:AD250" si="26">SUM(M248:AB248)</f>
        <v>89</v>
      </c>
      <c r="AE248">
        <v>0</v>
      </c>
      <c r="AF248">
        <v>6</v>
      </c>
      <c r="AG248">
        <v>25</v>
      </c>
      <c r="AH248">
        <f>Table3[[#This Row],[Flies_per_Vial]]*Table3[[#This Row],[Vials_Total_UsedInMaze]]</f>
        <v>150</v>
      </c>
      <c r="AI248">
        <f>Table3[[#This Row],[total_Flies]]/Table3[[#This Row],[flies_in]]</f>
        <v>0.59333333333333338</v>
      </c>
      <c r="AJ248"/>
      <c r="AK248" s="31">
        <f t="shared" ref="AK248:AK250" si="27">24*E248</f>
        <v>9.5</v>
      </c>
      <c r="AL248" s="31">
        <f t="shared" ref="AL248:AL250" si="28">24*F248</f>
        <v>12.733333333333334</v>
      </c>
      <c r="AM248" s="31">
        <f>Table3[[#This Row],[end_time_num]]-Table3[[#This Row],[start_time_num]]</f>
        <v>3.2333333333333343</v>
      </c>
      <c r="AN248" s="19" t="s">
        <v>147</v>
      </c>
    </row>
    <row r="249" spans="1:40" x14ac:dyDescent="0.35">
      <c r="A249">
        <v>14</v>
      </c>
      <c r="B249">
        <v>2</v>
      </c>
      <c r="C249" s="19" t="s">
        <v>154</v>
      </c>
      <c r="D249" t="s">
        <v>153</v>
      </c>
      <c r="E249" s="2">
        <v>0.39583333333333331</v>
      </c>
      <c r="F249" s="2">
        <v>0.53472222222222221</v>
      </c>
      <c r="G249" s="13">
        <v>0.1388888888888889</v>
      </c>
      <c r="H249" s="20" t="s">
        <v>136</v>
      </c>
      <c r="I249" s="19" t="s">
        <v>6</v>
      </c>
      <c r="J249">
        <v>4</v>
      </c>
      <c r="K249" s="19" t="s">
        <v>2</v>
      </c>
      <c r="L249" s="14" t="s">
        <v>3</v>
      </c>
      <c r="M249">
        <v>9</v>
      </c>
      <c r="N249">
        <v>13</v>
      </c>
      <c r="O249">
        <v>12</v>
      </c>
      <c r="P249">
        <v>7</v>
      </c>
      <c r="Q249">
        <v>14</v>
      </c>
      <c r="R249">
        <v>8</v>
      </c>
      <c r="S249">
        <v>11</v>
      </c>
      <c r="T249">
        <v>14</v>
      </c>
      <c r="U249">
        <v>6</v>
      </c>
      <c r="V249">
        <v>7</v>
      </c>
      <c r="W249">
        <v>2</v>
      </c>
      <c r="X249">
        <v>3</v>
      </c>
      <c r="Y249">
        <v>0</v>
      </c>
      <c r="Z249">
        <v>0</v>
      </c>
      <c r="AA249">
        <v>0</v>
      </c>
      <c r="AB249">
        <v>0</v>
      </c>
      <c r="AC249" s="18">
        <f>SUMPRODUCT(OG_Data!D$1:S$1, M249:AB249) /SUM(M249:AB249)</f>
        <v>5.5471698113207548</v>
      </c>
      <c r="AD249">
        <f t="shared" si="26"/>
        <v>106</v>
      </c>
      <c r="AE249">
        <v>0</v>
      </c>
      <c r="AF249">
        <v>6</v>
      </c>
      <c r="AG249">
        <v>25</v>
      </c>
      <c r="AH249">
        <f>Table3[[#This Row],[Flies_per_Vial]]*Table3[[#This Row],[Vials_Total_UsedInMaze]]</f>
        <v>150</v>
      </c>
      <c r="AI249">
        <f>Table3[[#This Row],[total_Flies]]/Table3[[#This Row],[flies_in]]</f>
        <v>0.70666666666666667</v>
      </c>
      <c r="AJ249"/>
      <c r="AK249" s="31">
        <f t="shared" si="27"/>
        <v>9.5</v>
      </c>
      <c r="AL249" s="31">
        <f t="shared" si="28"/>
        <v>12.833333333333332</v>
      </c>
      <c r="AM249" s="31">
        <f>Table3[[#This Row],[end_time_num]]-Table3[[#This Row],[start_time_num]]</f>
        <v>3.3333333333333321</v>
      </c>
      <c r="AN249" s="19" t="s">
        <v>147</v>
      </c>
    </row>
    <row r="250" spans="1:40" x14ac:dyDescent="0.35">
      <c r="A250">
        <v>14</v>
      </c>
      <c r="B250">
        <v>2</v>
      </c>
      <c r="C250" s="19" t="s">
        <v>154</v>
      </c>
      <c r="D250" t="s">
        <v>153</v>
      </c>
      <c r="E250" s="2">
        <v>0.39583333333333331</v>
      </c>
      <c r="F250" s="2">
        <v>0.5395833333333333</v>
      </c>
      <c r="G250" s="13">
        <v>0.14374999999999999</v>
      </c>
      <c r="H250" s="20" t="s">
        <v>136</v>
      </c>
      <c r="I250" s="19" t="s">
        <v>6</v>
      </c>
      <c r="J250">
        <v>4</v>
      </c>
      <c r="K250" s="19" t="s">
        <v>1</v>
      </c>
      <c r="L250" s="14" t="s">
        <v>0</v>
      </c>
      <c r="M250">
        <v>10</v>
      </c>
      <c r="N250">
        <v>9</v>
      </c>
      <c r="O250">
        <v>14</v>
      </c>
      <c r="P250">
        <v>9</v>
      </c>
      <c r="Q250">
        <v>11</v>
      </c>
      <c r="R250">
        <v>12</v>
      </c>
      <c r="S250">
        <v>5</v>
      </c>
      <c r="T250">
        <v>10</v>
      </c>
      <c r="U250">
        <v>6</v>
      </c>
      <c r="V250">
        <v>0</v>
      </c>
      <c r="W250">
        <v>4</v>
      </c>
      <c r="X250">
        <v>4</v>
      </c>
      <c r="Y250">
        <v>0</v>
      </c>
      <c r="Z250">
        <v>1</v>
      </c>
      <c r="AA250">
        <v>0</v>
      </c>
      <c r="AB250">
        <v>0</v>
      </c>
      <c r="AC250" s="18">
        <f>SUMPRODUCT(OG_Data!D$1:S$1, M250:AB250) /SUM(M250:AB250)</f>
        <v>5.3473684210526313</v>
      </c>
      <c r="AD250">
        <f t="shared" si="26"/>
        <v>95</v>
      </c>
      <c r="AE250">
        <v>0</v>
      </c>
      <c r="AF250">
        <v>5</v>
      </c>
      <c r="AG250">
        <v>25</v>
      </c>
      <c r="AH250">
        <f>Table3[[#This Row],[Flies_per_Vial]]*Table3[[#This Row],[Vials_Total_UsedInMaze]]</f>
        <v>125</v>
      </c>
      <c r="AI250">
        <f>Table3[[#This Row],[total_Flies]]/Table3[[#This Row],[flies_in]]</f>
        <v>0.76</v>
      </c>
      <c r="AJ250"/>
      <c r="AK250" s="31">
        <f t="shared" si="27"/>
        <v>9.5</v>
      </c>
      <c r="AL250" s="31">
        <f t="shared" si="28"/>
        <v>12.95</v>
      </c>
      <c r="AM250" s="31">
        <f>Table3[[#This Row],[end_time_num]]-Table3[[#This Row],[start_time_num]]</f>
        <v>3.4499999999999993</v>
      </c>
      <c r="AN250" s="19" t="s">
        <v>147</v>
      </c>
    </row>
    <row r="251" spans="1:40" x14ac:dyDescent="0.35">
      <c r="A251">
        <v>14</v>
      </c>
      <c r="B251">
        <v>2</v>
      </c>
      <c r="C251" s="19" t="s">
        <v>155</v>
      </c>
      <c r="D251" t="s">
        <v>153</v>
      </c>
      <c r="E251" s="2">
        <v>0.55902777777777779</v>
      </c>
      <c r="F251" s="2">
        <v>0.68819444444444444</v>
      </c>
      <c r="G251" s="13">
        <v>0.12916666666666665</v>
      </c>
      <c r="H251" s="20" t="s">
        <v>142</v>
      </c>
      <c r="I251" s="19" t="s">
        <v>6</v>
      </c>
      <c r="J251">
        <v>3</v>
      </c>
      <c r="K251" s="19" t="s">
        <v>5</v>
      </c>
      <c r="L251" s="14" t="s">
        <v>0</v>
      </c>
      <c r="M251">
        <v>1</v>
      </c>
      <c r="N251">
        <v>6</v>
      </c>
      <c r="O251">
        <v>15</v>
      </c>
      <c r="P251">
        <v>14</v>
      </c>
      <c r="Q251">
        <v>21</v>
      </c>
      <c r="R251">
        <v>5</v>
      </c>
      <c r="S251">
        <v>13</v>
      </c>
      <c r="T251">
        <v>10</v>
      </c>
      <c r="U251">
        <v>4</v>
      </c>
      <c r="V251">
        <v>11</v>
      </c>
      <c r="W251">
        <v>5</v>
      </c>
      <c r="X251">
        <v>2</v>
      </c>
      <c r="Y251">
        <v>5</v>
      </c>
      <c r="Z251">
        <v>3</v>
      </c>
      <c r="AA251">
        <v>8</v>
      </c>
      <c r="AB251">
        <v>2</v>
      </c>
      <c r="AC251" s="18">
        <f>SUMPRODUCT(OG_Data!D$1:S$1, M251:AB251) /SUM(M251:AB251)</f>
        <v>7.2320000000000002</v>
      </c>
      <c r="AD251">
        <f t="shared" ref="AD251:AD254" si="29">SUM(M251:AB251)</f>
        <v>125</v>
      </c>
      <c r="AE251">
        <v>0</v>
      </c>
      <c r="AF251">
        <v>6</v>
      </c>
      <c r="AG251">
        <v>25</v>
      </c>
      <c r="AH251">
        <f>Table3[[#This Row],[Flies_per_Vial]]*Table3[[#This Row],[Vials_Total_UsedInMaze]]</f>
        <v>150</v>
      </c>
      <c r="AI251">
        <f>Table3[[#This Row],[total_Flies]]/Table3[[#This Row],[flies_in]]</f>
        <v>0.83333333333333337</v>
      </c>
      <c r="AJ251"/>
      <c r="AK251" s="31">
        <f t="shared" ref="AK251:AK254" si="30">24*E251</f>
        <v>13.416666666666668</v>
      </c>
      <c r="AL251" s="31">
        <f>24*F251</f>
        <v>16.516666666666666</v>
      </c>
      <c r="AM251" s="31">
        <f>Table3[[#This Row],[end_time_num]]-Table3[[#This Row],[start_time_num]]</f>
        <v>3.0999999999999979</v>
      </c>
      <c r="AN251" s="19" t="s">
        <v>147</v>
      </c>
    </row>
    <row r="252" spans="1:40" x14ac:dyDescent="0.35">
      <c r="A252">
        <v>14</v>
      </c>
      <c r="B252">
        <v>2</v>
      </c>
      <c r="C252" s="19" t="s">
        <v>155</v>
      </c>
      <c r="D252" t="s">
        <v>153</v>
      </c>
      <c r="E252" s="2">
        <v>0.55902777777777779</v>
      </c>
      <c r="F252" s="2">
        <v>0.69236111111111109</v>
      </c>
      <c r="G252" s="13">
        <v>0.1333333333333333</v>
      </c>
      <c r="H252" s="20" t="s">
        <v>142</v>
      </c>
      <c r="I252" s="19" t="s">
        <v>6</v>
      </c>
      <c r="J252">
        <v>3</v>
      </c>
      <c r="K252" s="19" t="s">
        <v>4</v>
      </c>
      <c r="L252" s="14" t="s">
        <v>3</v>
      </c>
      <c r="M252">
        <v>7</v>
      </c>
      <c r="N252">
        <v>1</v>
      </c>
      <c r="O252">
        <v>2</v>
      </c>
      <c r="P252">
        <v>1</v>
      </c>
      <c r="Q252">
        <v>2</v>
      </c>
      <c r="R252">
        <v>0</v>
      </c>
      <c r="S252">
        <v>3</v>
      </c>
      <c r="T252">
        <v>5</v>
      </c>
      <c r="U252">
        <v>0</v>
      </c>
      <c r="V252">
        <v>4</v>
      </c>
      <c r="W252">
        <v>4</v>
      </c>
      <c r="X252">
        <v>6</v>
      </c>
      <c r="Y252">
        <v>3</v>
      </c>
      <c r="Z252">
        <v>2</v>
      </c>
      <c r="AA252">
        <v>2</v>
      </c>
      <c r="AB252">
        <v>2</v>
      </c>
      <c r="AC252" s="18">
        <f>SUMPRODUCT(OG_Data!D$1:S$1, M252:AB252) /SUM(M252:AB252)</f>
        <v>8.5227272727272734</v>
      </c>
      <c r="AD252">
        <f t="shared" si="29"/>
        <v>44</v>
      </c>
      <c r="AE252">
        <v>0</v>
      </c>
      <c r="AF252">
        <v>6</v>
      </c>
      <c r="AG252">
        <v>25</v>
      </c>
      <c r="AH252">
        <f>Table3[[#This Row],[Flies_per_Vial]]*Table3[[#This Row],[Vials_Total_UsedInMaze]]</f>
        <v>150</v>
      </c>
      <c r="AI252">
        <f>Table3[[#This Row],[total_Flies]]/Table3[[#This Row],[flies_in]]</f>
        <v>0.29333333333333333</v>
      </c>
      <c r="AJ252"/>
      <c r="AK252" s="31">
        <f t="shared" si="30"/>
        <v>13.416666666666668</v>
      </c>
      <c r="AL252" s="31">
        <f>24*F252</f>
        <v>16.616666666666667</v>
      </c>
      <c r="AM252" s="31">
        <f>Table3[[#This Row],[end_time_num]]-Table3[[#This Row],[start_time_num]]</f>
        <v>3.1999999999999993</v>
      </c>
      <c r="AN252" s="19" t="s">
        <v>147</v>
      </c>
    </row>
    <row r="253" spans="1:40" x14ac:dyDescent="0.35">
      <c r="A253">
        <v>14</v>
      </c>
      <c r="B253">
        <v>2</v>
      </c>
      <c r="C253" s="19" t="s">
        <v>155</v>
      </c>
      <c r="D253" t="s">
        <v>153</v>
      </c>
      <c r="E253" s="2">
        <v>0.55902777777777779</v>
      </c>
      <c r="F253" s="2">
        <v>0.69722222222222219</v>
      </c>
      <c r="G253" s="13">
        <v>0.1381944444444444</v>
      </c>
      <c r="H253" s="20" t="s">
        <v>142</v>
      </c>
      <c r="I253" s="19" t="s">
        <v>6</v>
      </c>
      <c r="J253">
        <v>3</v>
      </c>
      <c r="K253" s="19" t="s">
        <v>2</v>
      </c>
      <c r="L253" s="14" t="s">
        <v>3</v>
      </c>
      <c r="M253">
        <v>5</v>
      </c>
      <c r="N253">
        <v>8</v>
      </c>
      <c r="O253">
        <v>16</v>
      </c>
      <c r="P253">
        <v>2</v>
      </c>
      <c r="Q253">
        <v>7</v>
      </c>
      <c r="R253">
        <v>15</v>
      </c>
      <c r="S253">
        <v>2</v>
      </c>
      <c r="T253">
        <v>12</v>
      </c>
      <c r="U253">
        <v>20</v>
      </c>
      <c r="V253">
        <v>6</v>
      </c>
      <c r="W253">
        <v>13</v>
      </c>
      <c r="X253">
        <v>1</v>
      </c>
      <c r="Y253">
        <v>6</v>
      </c>
      <c r="Z253">
        <v>0</v>
      </c>
      <c r="AA253">
        <v>1</v>
      </c>
      <c r="AB253">
        <v>1</v>
      </c>
      <c r="AC253" s="18">
        <f>SUMPRODUCT(OG_Data!D$1:S$1, M253:AB253) /SUM(M253:AB253)</f>
        <v>7.0956521739130434</v>
      </c>
      <c r="AD253">
        <f t="shared" si="29"/>
        <v>115</v>
      </c>
      <c r="AE253">
        <v>0</v>
      </c>
      <c r="AF253">
        <v>6</v>
      </c>
      <c r="AG253">
        <v>25</v>
      </c>
      <c r="AH253">
        <f>Table3[[#This Row],[Flies_per_Vial]]*Table3[[#This Row],[Vials_Total_UsedInMaze]]</f>
        <v>150</v>
      </c>
      <c r="AI253">
        <f>Table3[[#This Row],[total_Flies]]/Table3[[#This Row],[flies_in]]</f>
        <v>0.76666666666666672</v>
      </c>
      <c r="AJ253"/>
      <c r="AK253" s="31">
        <f t="shared" si="30"/>
        <v>13.416666666666668</v>
      </c>
      <c r="AL253" s="31">
        <f>24*F253</f>
        <v>16.733333333333334</v>
      </c>
      <c r="AM253" s="31">
        <f>Table3[[#This Row],[end_time_num]]-Table3[[#This Row],[start_time_num]]</f>
        <v>3.3166666666666664</v>
      </c>
      <c r="AN253" s="19" t="s">
        <v>147</v>
      </c>
    </row>
    <row r="254" spans="1:40" x14ac:dyDescent="0.35">
      <c r="A254">
        <v>14</v>
      </c>
      <c r="B254">
        <v>2</v>
      </c>
      <c r="C254" s="19" t="s">
        <v>155</v>
      </c>
      <c r="D254" t="s">
        <v>153</v>
      </c>
      <c r="E254" s="2">
        <v>0.55902777777777779</v>
      </c>
      <c r="F254" s="2">
        <v>0.70138888888888884</v>
      </c>
      <c r="G254" s="13">
        <v>0.14236111111111105</v>
      </c>
      <c r="H254" s="20" t="s">
        <v>142</v>
      </c>
      <c r="I254" s="19" t="s">
        <v>6</v>
      </c>
      <c r="J254">
        <v>3</v>
      </c>
      <c r="K254" s="19" t="s">
        <v>1</v>
      </c>
      <c r="L254" s="14" t="s">
        <v>0</v>
      </c>
      <c r="M254">
        <v>10</v>
      </c>
      <c r="N254">
        <v>6</v>
      </c>
      <c r="O254">
        <v>4</v>
      </c>
      <c r="P254">
        <v>19</v>
      </c>
      <c r="Q254">
        <v>14</v>
      </c>
      <c r="R254">
        <v>10</v>
      </c>
      <c r="S254">
        <v>17</v>
      </c>
      <c r="T254">
        <v>10</v>
      </c>
      <c r="U254">
        <v>4</v>
      </c>
      <c r="V254">
        <v>1</v>
      </c>
      <c r="W254">
        <v>4</v>
      </c>
      <c r="X254">
        <v>3</v>
      </c>
      <c r="Y254">
        <v>1</v>
      </c>
      <c r="Z254">
        <v>0</v>
      </c>
      <c r="AA254">
        <v>0</v>
      </c>
      <c r="AB254">
        <v>0</v>
      </c>
      <c r="AC254" s="18">
        <f>SUMPRODUCT(OG_Data!D$1:S$1, M254:AB254) /SUM(M254:AB254)</f>
        <v>5.6116504854368934</v>
      </c>
      <c r="AD254">
        <f t="shared" si="29"/>
        <v>103</v>
      </c>
      <c r="AE254">
        <v>0</v>
      </c>
      <c r="AF254">
        <v>6</v>
      </c>
      <c r="AG254">
        <v>25</v>
      </c>
      <c r="AH254">
        <f>Table3[[#This Row],[Flies_per_Vial]]*Table3[[#This Row],[Vials_Total_UsedInMaze]]</f>
        <v>150</v>
      </c>
      <c r="AI254">
        <f>Table3[[#This Row],[total_Flies]]/Table3[[#This Row],[flies_in]]</f>
        <v>0.68666666666666665</v>
      </c>
      <c r="AJ254"/>
      <c r="AK254" s="31">
        <f t="shared" si="30"/>
        <v>13.416666666666668</v>
      </c>
      <c r="AL254" s="31">
        <f>24*F254</f>
        <v>16.833333333333332</v>
      </c>
      <c r="AM254" s="31">
        <f>Table3[[#This Row],[end_time_num]]-Table3[[#This Row],[start_time_num]]</f>
        <v>3.4166666666666643</v>
      </c>
      <c r="AN254" s="19" t="s">
        <v>147</v>
      </c>
    </row>
    <row r="255" spans="1:40" x14ac:dyDescent="0.35">
      <c r="A255">
        <v>15</v>
      </c>
      <c r="B255" s="19">
        <v>1</v>
      </c>
      <c r="C255" s="19" t="s">
        <v>154</v>
      </c>
      <c r="D255" t="s">
        <v>158</v>
      </c>
      <c r="E255" s="2">
        <v>0.40069444444444446</v>
      </c>
      <c r="F255" s="2">
        <v>0.52222222222222225</v>
      </c>
      <c r="G255" s="13">
        <v>0.12152777777777779</v>
      </c>
      <c r="H255" s="20" t="s">
        <v>136</v>
      </c>
      <c r="I255" s="19" t="s">
        <v>6</v>
      </c>
      <c r="J255" s="19">
        <v>2</v>
      </c>
      <c r="K255" s="19" t="s">
        <v>5</v>
      </c>
      <c r="L255" s="14" t="s">
        <v>3</v>
      </c>
      <c r="M255">
        <v>4</v>
      </c>
      <c r="N255">
        <v>5</v>
      </c>
      <c r="O255">
        <v>5</v>
      </c>
      <c r="P255">
        <v>4</v>
      </c>
      <c r="Q255">
        <v>8</v>
      </c>
      <c r="R255">
        <v>3</v>
      </c>
      <c r="S255">
        <v>5</v>
      </c>
      <c r="T255">
        <v>12</v>
      </c>
      <c r="U255">
        <v>4</v>
      </c>
      <c r="V255">
        <v>7</v>
      </c>
      <c r="W255">
        <v>6</v>
      </c>
      <c r="X255">
        <v>3</v>
      </c>
      <c r="Y255">
        <v>2</v>
      </c>
      <c r="Z255">
        <v>0</v>
      </c>
      <c r="AA255">
        <v>2</v>
      </c>
      <c r="AB255">
        <v>1</v>
      </c>
      <c r="AC255" s="18">
        <f>SUMPRODUCT(OG_Data!D$1:S$1, M255:AB255) /SUM(M255:AB255)</f>
        <v>7.23943661971831</v>
      </c>
      <c r="AD255">
        <f t="shared" ref="AD255:AD270" si="31">SUM(M255:AB255)</f>
        <v>71</v>
      </c>
      <c r="AE255">
        <v>0</v>
      </c>
      <c r="AF255">
        <v>6</v>
      </c>
      <c r="AG255">
        <v>25</v>
      </c>
      <c r="AH255">
        <f>Table3[[#This Row],[Flies_per_Vial]]*Table3[[#This Row],[Vials_Total_UsedInMaze]]</f>
        <v>150</v>
      </c>
      <c r="AI255">
        <f>Table3[[#This Row],[total_Flies]]/Table3[[#This Row],[flies_in]]</f>
        <v>0.47333333333333333</v>
      </c>
      <c r="AJ255"/>
      <c r="AK255" s="31">
        <f t="shared" ref="AK255:AK270" si="32">24*E255</f>
        <v>9.6166666666666671</v>
      </c>
      <c r="AL255" s="31">
        <f t="shared" ref="AL255:AL270" si="33">24*F255</f>
        <v>12.533333333333335</v>
      </c>
      <c r="AM255" s="31">
        <f>Table3[[#This Row],[end_time_num]]-Table3[[#This Row],[start_time_num]]</f>
        <v>2.9166666666666679</v>
      </c>
      <c r="AN255" s="19" t="s">
        <v>147</v>
      </c>
    </row>
    <row r="256" spans="1:40" x14ac:dyDescent="0.35">
      <c r="A256">
        <v>15</v>
      </c>
      <c r="B256" s="19">
        <v>1</v>
      </c>
      <c r="C256" s="19" t="s">
        <v>154</v>
      </c>
      <c r="D256" t="s">
        <v>158</v>
      </c>
      <c r="E256" s="2">
        <v>0.40069444444444446</v>
      </c>
      <c r="F256" s="2">
        <v>0.52569444444444446</v>
      </c>
      <c r="G256" s="13">
        <v>0.125</v>
      </c>
      <c r="H256" s="20" t="s">
        <v>136</v>
      </c>
      <c r="I256" s="19" t="s">
        <v>6</v>
      </c>
      <c r="J256" s="19">
        <v>2</v>
      </c>
      <c r="K256" s="19" t="s">
        <v>4</v>
      </c>
      <c r="L256" s="14" t="s">
        <v>0</v>
      </c>
      <c r="M256">
        <v>2</v>
      </c>
      <c r="N256">
        <v>0</v>
      </c>
      <c r="O256">
        <v>1</v>
      </c>
      <c r="P256">
        <v>2</v>
      </c>
      <c r="Q256">
        <v>0</v>
      </c>
      <c r="R256">
        <v>2</v>
      </c>
      <c r="S256">
        <v>7</v>
      </c>
      <c r="T256">
        <v>6</v>
      </c>
      <c r="U256">
        <v>3</v>
      </c>
      <c r="V256">
        <v>6</v>
      </c>
      <c r="W256">
        <v>5</v>
      </c>
      <c r="X256">
        <v>7</v>
      </c>
      <c r="Y256">
        <v>3</v>
      </c>
      <c r="Z256">
        <v>2</v>
      </c>
      <c r="AA256">
        <v>0</v>
      </c>
      <c r="AB256">
        <v>0</v>
      </c>
      <c r="AC256" s="18">
        <f>SUMPRODUCT(OG_Data!D$1:S$1, M256:AB256) /SUM(M256:AB256)</f>
        <v>9.0217391304347831</v>
      </c>
      <c r="AD256">
        <f t="shared" si="31"/>
        <v>46</v>
      </c>
      <c r="AE256">
        <v>0</v>
      </c>
      <c r="AF256">
        <v>4</v>
      </c>
      <c r="AG256">
        <v>25</v>
      </c>
      <c r="AH256">
        <f>Table3[[#This Row],[Flies_per_Vial]]*Table3[[#This Row],[Vials_Total_UsedInMaze]]</f>
        <v>100</v>
      </c>
      <c r="AI256">
        <f>Table3[[#This Row],[total_Flies]]/Table3[[#This Row],[flies_in]]</f>
        <v>0.46</v>
      </c>
      <c r="AJ256"/>
      <c r="AK256" s="31">
        <f t="shared" si="32"/>
        <v>9.6166666666666671</v>
      </c>
      <c r="AL256" s="31">
        <f t="shared" si="33"/>
        <v>12.616666666666667</v>
      </c>
      <c r="AM256" s="31">
        <f>Table3[[#This Row],[end_time_num]]-Table3[[#This Row],[start_time_num]]</f>
        <v>3</v>
      </c>
      <c r="AN256" s="19" t="s">
        <v>147</v>
      </c>
    </row>
    <row r="257" spans="1:40" x14ac:dyDescent="0.35">
      <c r="A257">
        <v>15</v>
      </c>
      <c r="B257" s="19">
        <v>1</v>
      </c>
      <c r="C257" s="19" t="s">
        <v>154</v>
      </c>
      <c r="D257" t="s">
        <v>158</v>
      </c>
      <c r="E257" s="2">
        <v>0.40069444444444446</v>
      </c>
      <c r="F257" s="2">
        <v>0.52986111111111112</v>
      </c>
      <c r="G257" s="13">
        <v>0.12916666666666665</v>
      </c>
      <c r="H257" s="20" t="s">
        <v>136</v>
      </c>
      <c r="I257" s="19" t="s">
        <v>6</v>
      </c>
      <c r="J257" s="19">
        <v>2</v>
      </c>
      <c r="K257" s="19" t="s">
        <v>2</v>
      </c>
      <c r="L257" s="14" t="s">
        <v>0</v>
      </c>
      <c r="M257">
        <v>12</v>
      </c>
      <c r="N257">
        <v>17</v>
      </c>
      <c r="O257">
        <v>14</v>
      </c>
      <c r="P257">
        <v>0</v>
      </c>
      <c r="Q257">
        <v>3</v>
      </c>
      <c r="R257">
        <v>11</v>
      </c>
      <c r="S257">
        <v>4</v>
      </c>
      <c r="T257">
        <v>4</v>
      </c>
      <c r="U257">
        <v>9</v>
      </c>
      <c r="V257">
        <v>1</v>
      </c>
      <c r="W257">
        <v>4</v>
      </c>
      <c r="X257">
        <v>2</v>
      </c>
      <c r="Y257">
        <v>1</v>
      </c>
      <c r="Z257">
        <v>0</v>
      </c>
      <c r="AA257">
        <v>1</v>
      </c>
      <c r="AB257">
        <v>0</v>
      </c>
      <c r="AC257" s="18">
        <f>SUMPRODUCT(OG_Data!D$1:S$1, M257:AB257) /SUM(M257:AB257)</f>
        <v>5.0120481927710845</v>
      </c>
      <c r="AD257">
        <f t="shared" si="31"/>
        <v>83</v>
      </c>
      <c r="AE257">
        <v>0</v>
      </c>
      <c r="AF257">
        <v>5</v>
      </c>
      <c r="AG257">
        <v>25</v>
      </c>
      <c r="AH257">
        <f>Table3[[#This Row],[Flies_per_Vial]]*Table3[[#This Row],[Vials_Total_UsedInMaze]]</f>
        <v>125</v>
      </c>
      <c r="AI257">
        <f>Table3[[#This Row],[total_Flies]]/Table3[[#This Row],[flies_in]]</f>
        <v>0.66400000000000003</v>
      </c>
      <c r="AJ257"/>
      <c r="AK257" s="31">
        <f t="shared" si="32"/>
        <v>9.6166666666666671</v>
      </c>
      <c r="AL257" s="31">
        <f t="shared" si="33"/>
        <v>12.716666666666667</v>
      </c>
      <c r="AM257" s="31">
        <f>Table3[[#This Row],[end_time_num]]-Table3[[#This Row],[start_time_num]]</f>
        <v>3.0999999999999996</v>
      </c>
      <c r="AN257" s="19" t="s">
        <v>147</v>
      </c>
    </row>
    <row r="258" spans="1:40" x14ac:dyDescent="0.35">
      <c r="A258">
        <v>15</v>
      </c>
      <c r="B258" s="19">
        <v>1</v>
      </c>
      <c r="C258" s="19" t="s">
        <v>154</v>
      </c>
      <c r="D258" t="s">
        <v>158</v>
      </c>
      <c r="E258" s="2">
        <v>0.40069444444444446</v>
      </c>
      <c r="F258" s="2">
        <v>0.53333333333333333</v>
      </c>
      <c r="G258" s="13">
        <v>0.13263888888888886</v>
      </c>
      <c r="H258" s="20" t="s">
        <v>136</v>
      </c>
      <c r="I258" s="19" t="s">
        <v>6</v>
      </c>
      <c r="J258" s="19">
        <v>2</v>
      </c>
      <c r="K258" s="19" t="s">
        <v>1</v>
      </c>
      <c r="L258" s="14" t="s">
        <v>3</v>
      </c>
      <c r="M258">
        <v>5</v>
      </c>
      <c r="N258">
        <v>9</v>
      </c>
      <c r="O258">
        <v>2</v>
      </c>
      <c r="P258">
        <v>4</v>
      </c>
      <c r="Q258">
        <v>5</v>
      </c>
      <c r="R258">
        <v>9</v>
      </c>
      <c r="S258">
        <v>4</v>
      </c>
      <c r="T258">
        <v>12</v>
      </c>
      <c r="U258">
        <v>2</v>
      </c>
      <c r="V258">
        <v>0</v>
      </c>
      <c r="W258">
        <v>2</v>
      </c>
      <c r="X258">
        <v>0</v>
      </c>
      <c r="Y258">
        <v>0</v>
      </c>
      <c r="Z258">
        <v>1</v>
      </c>
      <c r="AA258">
        <v>1</v>
      </c>
      <c r="AB258">
        <v>0</v>
      </c>
      <c r="AC258" s="18">
        <f>SUMPRODUCT(OG_Data!D$1:S$1, M258:AB258) /SUM(M258:AB258)</f>
        <v>5.6607142857142856</v>
      </c>
      <c r="AD258">
        <f t="shared" si="31"/>
        <v>56</v>
      </c>
      <c r="AE258">
        <v>0</v>
      </c>
      <c r="AF258">
        <v>5</v>
      </c>
      <c r="AG258">
        <v>25</v>
      </c>
      <c r="AH258">
        <f>Table3[[#This Row],[Flies_per_Vial]]*Table3[[#This Row],[Vials_Total_UsedInMaze]]</f>
        <v>125</v>
      </c>
      <c r="AI258">
        <f>Table3[[#This Row],[total_Flies]]/Table3[[#This Row],[flies_in]]</f>
        <v>0.44800000000000001</v>
      </c>
      <c r="AJ258"/>
      <c r="AK258" s="31">
        <f t="shared" si="32"/>
        <v>9.6166666666666671</v>
      </c>
      <c r="AL258" s="31">
        <f t="shared" si="33"/>
        <v>12.8</v>
      </c>
      <c r="AM258" s="31">
        <f>Table3[[#This Row],[end_time_num]]-Table3[[#This Row],[start_time_num]]</f>
        <v>3.1833333333333336</v>
      </c>
      <c r="AN258" s="19" t="s">
        <v>147</v>
      </c>
    </row>
    <row r="259" spans="1:40" x14ac:dyDescent="0.35">
      <c r="A259">
        <v>15</v>
      </c>
      <c r="B259" s="19">
        <v>1</v>
      </c>
      <c r="C259" s="19" t="s">
        <v>155</v>
      </c>
      <c r="D259" t="s">
        <v>158</v>
      </c>
      <c r="E259" s="2">
        <v>0.55069444444444449</v>
      </c>
      <c r="F259" s="2">
        <v>0.70833333333333337</v>
      </c>
      <c r="G259" s="13">
        <v>0.15763888888888888</v>
      </c>
      <c r="H259" s="20" t="s">
        <v>142</v>
      </c>
      <c r="I259" s="19" t="s">
        <v>6</v>
      </c>
      <c r="J259" s="19">
        <v>1</v>
      </c>
      <c r="K259" s="19" t="s">
        <v>5</v>
      </c>
      <c r="L259" s="14" t="s">
        <v>3</v>
      </c>
      <c r="M259">
        <v>8</v>
      </c>
      <c r="N259">
        <v>9</v>
      </c>
      <c r="O259">
        <v>6</v>
      </c>
      <c r="P259">
        <v>4</v>
      </c>
      <c r="Q259">
        <v>8</v>
      </c>
      <c r="R259">
        <v>9</v>
      </c>
      <c r="S259">
        <v>6</v>
      </c>
      <c r="T259">
        <v>11</v>
      </c>
      <c r="U259">
        <v>6</v>
      </c>
      <c r="V259">
        <v>5</v>
      </c>
      <c r="W259">
        <v>5</v>
      </c>
      <c r="X259">
        <v>0</v>
      </c>
      <c r="Y259">
        <v>0</v>
      </c>
      <c r="Z259">
        <v>1</v>
      </c>
      <c r="AA259">
        <v>2</v>
      </c>
      <c r="AB259">
        <v>1</v>
      </c>
      <c r="AC259" s="18">
        <f>SUMPRODUCT(OG_Data!D$1:S$1, M259:AB259) /SUM(M259:AB259)</f>
        <v>6.2098765432098766</v>
      </c>
      <c r="AD259">
        <f t="shared" si="31"/>
        <v>81</v>
      </c>
      <c r="AE259">
        <v>0</v>
      </c>
      <c r="AF259">
        <v>5</v>
      </c>
      <c r="AG259">
        <v>25</v>
      </c>
      <c r="AH259">
        <f>Table3[[#This Row],[Flies_per_Vial]]*Table3[[#This Row],[Vials_Total_UsedInMaze]]</f>
        <v>125</v>
      </c>
      <c r="AI259">
        <f>Table3[[#This Row],[total_Flies]]/Table3[[#This Row],[flies_in]]</f>
        <v>0.64800000000000002</v>
      </c>
      <c r="AJ259"/>
      <c r="AK259" s="31">
        <f t="shared" si="32"/>
        <v>13.216666666666669</v>
      </c>
      <c r="AL259" s="31">
        <f t="shared" si="33"/>
        <v>17</v>
      </c>
      <c r="AM259" s="31">
        <f>Table3[[#This Row],[end_time_num]]-Table3[[#This Row],[start_time_num]]</f>
        <v>3.7833333333333314</v>
      </c>
      <c r="AN259" s="19" t="s">
        <v>147</v>
      </c>
    </row>
    <row r="260" spans="1:40" x14ac:dyDescent="0.35">
      <c r="A260">
        <v>15</v>
      </c>
      <c r="B260" s="19">
        <v>1</v>
      </c>
      <c r="C260" s="19" t="s">
        <v>155</v>
      </c>
      <c r="D260" t="s">
        <v>158</v>
      </c>
      <c r="E260" s="2">
        <v>0.55069444444444449</v>
      </c>
      <c r="F260" s="2">
        <v>0.71319444444444446</v>
      </c>
      <c r="G260" s="13">
        <v>0.16249999999999998</v>
      </c>
      <c r="H260" s="20" t="s">
        <v>142</v>
      </c>
      <c r="I260" s="19" t="s">
        <v>6</v>
      </c>
      <c r="J260" s="19">
        <v>1</v>
      </c>
      <c r="K260" s="19" t="s">
        <v>4</v>
      </c>
      <c r="L260" s="14" t="s">
        <v>0</v>
      </c>
      <c r="M260">
        <v>5</v>
      </c>
      <c r="N260">
        <v>6</v>
      </c>
      <c r="O260">
        <v>8</v>
      </c>
      <c r="P260">
        <v>1</v>
      </c>
      <c r="Q260">
        <v>4</v>
      </c>
      <c r="R260">
        <v>3</v>
      </c>
      <c r="S260">
        <v>13</v>
      </c>
      <c r="T260">
        <v>5</v>
      </c>
      <c r="U260">
        <v>2</v>
      </c>
      <c r="V260">
        <v>7</v>
      </c>
      <c r="W260">
        <v>0</v>
      </c>
      <c r="X260">
        <v>5</v>
      </c>
      <c r="Y260">
        <v>7</v>
      </c>
      <c r="Z260">
        <v>2</v>
      </c>
      <c r="AA260">
        <v>0</v>
      </c>
      <c r="AB260">
        <v>2</v>
      </c>
      <c r="AC260" s="18">
        <f>SUMPRODUCT(OG_Data!D$1:S$1, M260:AB260) /SUM(M260:AB260)</f>
        <v>7.3285714285714283</v>
      </c>
      <c r="AD260">
        <f t="shared" si="31"/>
        <v>70</v>
      </c>
      <c r="AE260">
        <v>0</v>
      </c>
      <c r="AF260">
        <v>5</v>
      </c>
      <c r="AG260">
        <v>25</v>
      </c>
      <c r="AH260">
        <f>Table3[[#This Row],[Flies_per_Vial]]*Table3[[#This Row],[Vials_Total_UsedInMaze]]</f>
        <v>125</v>
      </c>
      <c r="AI260">
        <f>Table3[[#This Row],[total_Flies]]/Table3[[#This Row],[flies_in]]</f>
        <v>0.56000000000000005</v>
      </c>
      <c r="AJ260"/>
      <c r="AK260" s="31">
        <f t="shared" si="32"/>
        <v>13.216666666666669</v>
      </c>
      <c r="AL260" s="31">
        <f t="shared" si="33"/>
        <v>17.116666666666667</v>
      </c>
      <c r="AM260" s="31">
        <f>Table3[[#This Row],[end_time_num]]-Table3[[#This Row],[start_time_num]]</f>
        <v>3.8999999999999986</v>
      </c>
      <c r="AN260" s="19" t="s">
        <v>147</v>
      </c>
    </row>
    <row r="261" spans="1:40" x14ac:dyDescent="0.35">
      <c r="A261">
        <v>15</v>
      </c>
      <c r="B261" s="19">
        <v>1</v>
      </c>
      <c r="C261" s="19" t="s">
        <v>155</v>
      </c>
      <c r="D261" t="s">
        <v>158</v>
      </c>
      <c r="E261" s="2">
        <v>0.55069444444444449</v>
      </c>
      <c r="F261" s="2">
        <v>0.71666666666666667</v>
      </c>
      <c r="G261" s="13">
        <v>0.16597222222222219</v>
      </c>
      <c r="H261" s="20" t="s">
        <v>142</v>
      </c>
      <c r="I261" s="19" t="s">
        <v>6</v>
      </c>
      <c r="J261" s="19">
        <v>1</v>
      </c>
      <c r="K261" s="19" t="s">
        <v>2</v>
      </c>
      <c r="L261" s="14" t="s">
        <v>0</v>
      </c>
      <c r="M261">
        <v>23</v>
      </c>
      <c r="N261">
        <v>22</v>
      </c>
      <c r="O261">
        <v>17</v>
      </c>
      <c r="P261">
        <v>4</v>
      </c>
      <c r="Q261">
        <v>10</v>
      </c>
      <c r="R261">
        <v>23</v>
      </c>
      <c r="S261">
        <v>2</v>
      </c>
      <c r="T261">
        <v>16</v>
      </c>
      <c r="U261">
        <v>9</v>
      </c>
      <c r="V261">
        <v>3</v>
      </c>
      <c r="W261">
        <v>3</v>
      </c>
      <c r="X261">
        <v>2</v>
      </c>
      <c r="Y261">
        <v>1</v>
      </c>
      <c r="Z261">
        <v>0</v>
      </c>
      <c r="AA261">
        <v>0</v>
      </c>
      <c r="AB261">
        <v>0</v>
      </c>
      <c r="AC261" s="18">
        <f>SUMPRODUCT(OG_Data!D$1:S$1, M261:AB261) /SUM(M261:AB261)</f>
        <v>4.7777777777777777</v>
      </c>
      <c r="AD261">
        <f t="shared" si="31"/>
        <v>135</v>
      </c>
      <c r="AE261">
        <v>0</v>
      </c>
      <c r="AF261">
        <v>6</v>
      </c>
      <c r="AG261">
        <v>25</v>
      </c>
      <c r="AH261">
        <f>Table3[[#This Row],[Flies_per_Vial]]*Table3[[#This Row],[Vials_Total_UsedInMaze]]</f>
        <v>150</v>
      </c>
      <c r="AI261">
        <f>Table3[[#This Row],[total_Flies]]/Table3[[#This Row],[flies_in]]</f>
        <v>0.9</v>
      </c>
      <c r="AJ261"/>
      <c r="AK261" s="31">
        <f t="shared" si="32"/>
        <v>13.216666666666669</v>
      </c>
      <c r="AL261" s="31">
        <f t="shared" si="33"/>
        <v>17.2</v>
      </c>
      <c r="AM261" s="31">
        <f>Table3[[#This Row],[end_time_num]]-Table3[[#This Row],[start_time_num]]</f>
        <v>3.9833333333333307</v>
      </c>
      <c r="AN261" s="19" t="s">
        <v>147</v>
      </c>
    </row>
    <row r="262" spans="1:40" x14ac:dyDescent="0.35">
      <c r="A262">
        <v>15</v>
      </c>
      <c r="B262" s="19">
        <v>1</v>
      </c>
      <c r="C262" s="19" t="s">
        <v>155</v>
      </c>
      <c r="D262" t="s">
        <v>158</v>
      </c>
      <c r="E262" s="2">
        <v>0.55069444444444449</v>
      </c>
      <c r="F262" s="2">
        <v>0.72083333333333333</v>
      </c>
      <c r="G262" s="13">
        <v>0.17013888888888884</v>
      </c>
      <c r="H262" s="20" t="s">
        <v>142</v>
      </c>
      <c r="I262" s="19" t="s">
        <v>6</v>
      </c>
      <c r="J262" s="19">
        <v>1</v>
      </c>
      <c r="K262" s="19" t="s">
        <v>1</v>
      </c>
      <c r="L262" s="14" t="s">
        <v>3</v>
      </c>
      <c r="M262">
        <v>21</v>
      </c>
      <c r="N262">
        <v>11</v>
      </c>
      <c r="O262">
        <v>9</v>
      </c>
      <c r="P262">
        <v>9</v>
      </c>
      <c r="Q262">
        <v>11</v>
      </c>
      <c r="R262">
        <v>7</v>
      </c>
      <c r="S262">
        <v>1</v>
      </c>
      <c r="T262">
        <v>8</v>
      </c>
      <c r="U262">
        <v>5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 s="18">
        <f>SUMPRODUCT(OG_Data!D$1:S$1, M262:AB262) /SUM(M262:AB262)</f>
        <v>3.9759036144578315</v>
      </c>
      <c r="AD262">
        <f t="shared" si="31"/>
        <v>83</v>
      </c>
      <c r="AE262">
        <v>0</v>
      </c>
      <c r="AF262">
        <v>6</v>
      </c>
      <c r="AG262">
        <v>25</v>
      </c>
      <c r="AH262">
        <f>Table3[[#This Row],[Flies_per_Vial]]*Table3[[#This Row],[Vials_Total_UsedInMaze]]</f>
        <v>150</v>
      </c>
      <c r="AI262">
        <f>Table3[[#This Row],[total_Flies]]/Table3[[#This Row],[flies_in]]</f>
        <v>0.55333333333333334</v>
      </c>
      <c r="AJ262"/>
      <c r="AK262" s="31">
        <f t="shared" si="32"/>
        <v>13.216666666666669</v>
      </c>
      <c r="AL262" s="31">
        <f t="shared" si="33"/>
        <v>17.3</v>
      </c>
      <c r="AM262" s="31">
        <f>Table3[[#This Row],[end_time_num]]-Table3[[#This Row],[start_time_num]]</f>
        <v>4.0833333333333321</v>
      </c>
      <c r="AN262" s="19" t="s">
        <v>147</v>
      </c>
    </row>
    <row r="263" spans="1:40" x14ac:dyDescent="0.35">
      <c r="A263">
        <v>15</v>
      </c>
      <c r="B263">
        <v>2</v>
      </c>
      <c r="C263" s="19" t="s">
        <v>154</v>
      </c>
      <c r="D263" t="s">
        <v>159</v>
      </c>
      <c r="E263" s="2">
        <v>0.3923611111111111</v>
      </c>
      <c r="F263" s="2">
        <v>0.52222222222222225</v>
      </c>
      <c r="G263" s="13">
        <v>0.12986111111111115</v>
      </c>
      <c r="H263" s="20" t="s">
        <v>136</v>
      </c>
      <c r="I263" s="19" t="s">
        <v>6</v>
      </c>
      <c r="J263">
        <v>4</v>
      </c>
      <c r="K263" s="19" t="s">
        <v>5</v>
      </c>
      <c r="L263" s="14" t="s">
        <v>3</v>
      </c>
      <c r="M263">
        <v>3</v>
      </c>
      <c r="N263">
        <v>4</v>
      </c>
      <c r="O263">
        <v>3</v>
      </c>
      <c r="P263">
        <v>3</v>
      </c>
      <c r="Q263">
        <v>8</v>
      </c>
      <c r="R263">
        <v>4</v>
      </c>
      <c r="S263">
        <v>0</v>
      </c>
      <c r="T263">
        <v>6</v>
      </c>
      <c r="U263">
        <v>5</v>
      </c>
      <c r="V263">
        <v>15</v>
      </c>
      <c r="W263">
        <v>6</v>
      </c>
      <c r="X263">
        <v>5</v>
      </c>
      <c r="Y263">
        <v>3</v>
      </c>
      <c r="Z263">
        <v>0</v>
      </c>
      <c r="AA263">
        <v>7</v>
      </c>
      <c r="AB263">
        <v>11</v>
      </c>
      <c r="AC263" s="18">
        <f>SUMPRODUCT(OG_Data!D$1:S$1, M263:AB263) /SUM(M263:AB263)</f>
        <v>9.4578313253012052</v>
      </c>
      <c r="AD263">
        <f t="shared" si="31"/>
        <v>83</v>
      </c>
      <c r="AE263">
        <v>0</v>
      </c>
      <c r="AF263">
        <v>6</v>
      </c>
      <c r="AG263">
        <v>25</v>
      </c>
      <c r="AH263">
        <f>Table3[[#This Row],[Flies_per_Vial]]*Table3[[#This Row],[Vials_Total_UsedInMaze]]</f>
        <v>150</v>
      </c>
      <c r="AI263">
        <f>Table3[[#This Row],[total_Flies]]/Table3[[#This Row],[flies_in]]</f>
        <v>0.55333333333333334</v>
      </c>
      <c r="AJ263"/>
      <c r="AK263" s="31">
        <f t="shared" si="32"/>
        <v>9.4166666666666661</v>
      </c>
      <c r="AL263" s="31">
        <f t="shared" si="33"/>
        <v>12.533333333333335</v>
      </c>
      <c r="AM263" s="31">
        <f>Table3[[#This Row],[end_time_num]]-Table3[[#This Row],[start_time_num]]</f>
        <v>3.1166666666666689</v>
      </c>
      <c r="AN263" s="19" t="s">
        <v>147</v>
      </c>
    </row>
    <row r="264" spans="1:40" x14ac:dyDescent="0.35">
      <c r="A264">
        <v>15</v>
      </c>
      <c r="B264">
        <v>2</v>
      </c>
      <c r="C264" s="19" t="s">
        <v>154</v>
      </c>
      <c r="D264" t="s">
        <v>159</v>
      </c>
      <c r="E264" s="2">
        <v>0.3923611111111111</v>
      </c>
      <c r="F264" s="2">
        <v>0.52569444444444446</v>
      </c>
      <c r="G264" s="13">
        <v>0.13333333333333336</v>
      </c>
      <c r="H264" s="20" t="s">
        <v>136</v>
      </c>
      <c r="I264" s="19" t="s">
        <v>6</v>
      </c>
      <c r="J264">
        <v>4</v>
      </c>
      <c r="K264" s="19" t="s">
        <v>4</v>
      </c>
      <c r="L264" s="14" t="s">
        <v>0</v>
      </c>
      <c r="M264">
        <v>1</v>
      </c>
      <c r="N264">
        <v>0</v>
      </c>
      <c r="O264">
        <v>1</v>
      </c>
      <c r="P264">
        <v>2</v>
      </c>
      <c r="Q264">
        <v>4</v>
      </c>
      <c r="R264">
        <v>2</v>
      </c>
      <c r="S264">
        <v>10</v>
      </c>
      <c r="T264">
        <v>17</v>
      </c>
      <c r="U264">
        <v>1</v>
      </c>
      <c r="V264">
        <v>9</v>
      </c>
      <c r="W264">
        <v>9</v>
      </c>
      <c r="X264">
        <v>8</v>
      </c>
      <c r="Y264">
        <v>9</v>
      </c>
      <c r="Z264">
        <v>7</v>
      </c>
      <c r="AA264">
        <v>7</v>
      </c>
      <c r="AB264">
        <v>0</v>
      </c>
      <c r="AC264" s="18">
        <f>SUMPRODUCT(OG_Data!D$1:S$1, M264:AB264) /SUM(M264:AB264)</f>
        <v>9.931034482758621</v>
      </c>
      <c r="AD264">
        <f t="shared" si="31"/>
        <v>87</v>
      </c>
      <c r="AE264">
        <v>0</v>
      </c>
      <c r="AF264">
        <v>6</v>
      </c>
      <c r="AG264">
        <v>25</v>
      </c>
      <c r="AH264">
        <f>Table3[[#This Row],[Flies_per_Vial]]*Table3[[#This Row],[Vials_Total_UsedInMaze]]</f>
        <v>150</v>
      </c>
      <c r="AI264">
        <f>Table3[[#This Row],[total_Flies]]/Table3[[#This Row],[flies_in]]</f>
        <v>0.57999999999999996</v>
      </c>
      <c r="AJ264"/>
      <c r="AK264" s="31">
        <f t="shared" si="32"/>
        <v>9.4166666666666661</v>
      </c>
      <c r="AL264" s="31">
        <f t="shared" si="33"/>
        <v>12.616666666666667</v>
      </c>
      <c r="AM264" s="31">
        <f>Table3[[#This Row],[end_time_num]]-Table3[[#This Row],[start_time_num]]</f>
        <v>3.2000000000000011</v>
      </c>
      <c r="AN264" s="19" t="s">
        <v>147</v>
      </c>
    </row>
    <row r="265" spans="1:40" x14ac:dyDescent="0.35">
      <c r="A265">
        <v>15</v>
      </c>
      <c r="B265">
        <v>2</v>
      </c>
      <c r="C265" s="19" t="s">
        <v>154</v>
      </c>
      <c r="D265" t="s">
        <v>159</v>
      </c>
      <c r="E265" s="2">
        <v>0.3923611111111111</v>
      </c>
      <c r="F265" s="2">
        <v>0.52986111111111112</v>
      </c>
      <c r="G265" s="13">
        <v>0.13750000000000001</v>
      </c>
      <c r="H265" s="20" t="s">
        <v>136</v>
      </c>
      <c r="I265" s="19" t="s">
        <v>6</v>
      </c>
      <c r="J265">
        <v>4</v>
      </c>
      <c r="K265" s="19" t="s">
        <v>2</v>
      </c>
      <c r="L265" s="14" t="s">
        <v>0</v>
      </c>
      <c r="M265">
        <v>9</v>
      </c>
      <c r="N265">
        <v>14</v>
      </c>
      <c r="O265">
        <v>21</v>
      </c>
      <c r="P265">
        <v>2</v>
      </c>
      <c r="Q265">
        <v>2</v>
      </c>
      <c r="R265">
        <v>11</v>
      </c>
      <c r="S265">
        <v>13</v>
      </c>
      <c r="T265">
        <v>16</v>
      </c>
      <c r="U265">
        <v>11</v>
      </c>
      <c r="V265">
        <v>5</v>
      </c>
      <c r="W265">
        <v>8</v>
      </c>
      <c r="X265">
        <v>3</v>
      </c>
      <c r="Y265">
        <v>1</v>
      </c>
      <c r="Z265">
        <v>1</v>
      </c>
      <c r="AA265">
        <v>0</v>
      </c>
      <c r="AB265">
        <v>0</v>
      </c>
      <c r="AC265" s="18">
        <f>SUMPRODUCT(OG_Data!D$1:S$1, M265:AB265) /SUM(M265:AB265)</f>
        <v>6.0085470085470085</v>
      </c>
      <c r="AD265">
        <f t="shared" si="31"/>
        <v>117</v>
      </c>
      <c r="AE265">
        <v>0</v>
      </c>
      <c r="AF265">
        <v>6</v>
      </c>
      <c r="AG265">
        <v>25</v>
      </c>
      <c r="AH265">
        <f>Table3[[#This Row],[Flies_per_Vial]]*Table3[[#This Row],[Vials_Total_UsedInMaze]]</f>
        <v>150</v>
      </c>
      <c r="AI265">
        <f>Table3[[#This Row],[total_Flies]]/Table3[[#This Row],[flies_in]]</f>
        <v>0.78</v>
      </c>
      <c r="AJ265"/>
      <c r="AK265" s="31">
        <f t="shared" si="32"/>
        <v>9.4166666666666661</v>
      </c>
      <c r="AL265" s="31">
        <f t="shared" si="33"/>
        <v>12.716666666666667</v>
      </c>
      <c r="AM265" s="31">
        <f>Table3[[#This Row],[end_time_num]]-Table3[[#This Row],[start_time_num]]</f>
        <v>3.3000000000000007</v>
      </c>
      <c r="AN265" s="19" t="s">
        <v>147</v>
      </c>
    </row>
    <row r="266" spans="1:40" x14ac:dyDescent="0.35">
      <c r="A266">
        <v>15</v>
      </c>
      <c r="B266">
        <v>2</v>
      </c>
      <c r="C266" s="19" t="s">
        <v>154</v>
      </c>
      <c r="D266" t="s">
        <v>159</v>
      </c>
      <c r="E266" s="2">
        <v>0.3923611111111111</v>
      </c>
      <c r="F266" s="2">
        <v>0.53333333333333333</v>
      </c>
      <c r="G266" s="13">
        <v>0.14097222222222222</v>
      </c>
      <c r="H266" s="20" t="s">
        <v>136</v>
      </c>
      <c r="I266" s="19" t="s">
        <v>6</v>
      </c>
      <c r="J266">
        <v>4</v>
      </c>
      <c r="K266" s="19" t="s">
        <v>1</v>
      </c>
      <c r="L266" s="14" t="s">
        <v>3</v>
      </c>
      <c r="M266">
        <v>13</v>
      </c>
      <c r="N266">
        <v>13</v>
      </c>
      <c r="O266">
        <v>11</v>
      </c>
      <c r="P266">
        <v>12</v>
      </c>
      <c r="Q266">
        <v>11</v>
      </c>
      <c r="R266">
        <v>6</v>
      </c>
      <c r="S266">
        <v>5</v>
      </c>
      <c r="T266">
        <v>6</v>
      </c>
      <c r="U266">
        <v>1</v>
      </c>
      <c r="V266">
        <v>0</v>
      </c>
      <c r="W266">
        <v>3</v>
      </c>
      <c r="X266">
        <v>4</v>
      </c>
      <c r="Y266">
        <v>0</v>
      </c>
      <c r="Z266">
        <v>1</v>
      </c>
      <c r="AA266">
        <v>0</v>
      </c>
      <c r="AB266">
        <v>0</v>
      </c>
      <c r="AC266" s="18">
        <f>SUMPRODUCT(OG_Data!D$1:S$1, M266:AB266) /SUM(M266:AB266)</f>
        <v>4.6279069767441863</v>
      </c>
      <c r="AD266">
        <f t="shared" si="31"/>
        <v>86</v>
      </c>
      <c r="AE266">
        <v>0</v>
      </c>
      <c r="AF266">
        <v>6</v>
      </c>
      <c r="AG266">
        <v>25</v>
      </c>
      <c r="AH266">
        <f>Table3[[#This Row],[Flies_per_Vial]]*Table3[[#This Row],[Vials_Total_UsedInMaze]]</f>
        <v>150</v>
      </c>
      <c r="AI266">
        <f>Table3[[#This Row],[total_Flies]]/Table3[[#This Row],[flies_in]]</f>
        <v>0.57333333333333336</v>
      </c>
      <c r="AJ266"/>
      <c r="AK266" s="31">
        <f t="shared" si="32"/>
        <v>9.4166666666666661</v>
      </c>
      <c r="AL266" s="31">
        <f t="shared" si="33"/>
        <v>12.8</v>
      </c>
      <c r="AM266" s="31">
        <f>Table3[[#This Row],[end_time_num]]-Table3[[#This Row],[start_time_num]]</f>
        <v>3.3833333333333346</v>
      </c>
      <c r="AN266" s="19" t="s">
        <v>147</v>
      </c>
    </row>
    <row r="267" spans="1:40" x14ac:dyDescent="0.35">
      <c r="A267">
        <v>15</v>
      </c>
      <c r="B267">
        <v>2</v>
      </c>
      <c r="C267" s="19" t="s">
        <v>155</v>
      </c>
      <c r="D267" t="s">
        <v>159</v>
      </c>
      <c r="E267" s="2">
        <v>0.55902777777777779</v>
      </c>
      <c r="F267" s="2">
        <v>0.7104166666666667</v>
      </c>
      <c r="G267" s="13">
        <v>0.15138888888888891</v>
      </c>
      <c r="H267" s="20" t="s">
        <v>142</v>
      </c>
      <c r="I267" s="19" t="s">
        <v>6</v>
      </c>
      <c r="J267">
        <v>3</v>
      </c>
      <c r="K267" s="19" t="s">
        <v>5</v>
      </c>
      <c r="L267" s="14" t="s">
        <v>3</v>
      </c>
      <c r="M267">
        <v>2</v>
      </c>
      <c r="N267">
        <v>4</v>
      </c>
      <c r="O267">
        <v>0</v>
      </c>
      <c r="P267">
        <v>8</v>
      </c>
      <c r="Q267">
        <v>12</v>
      </c>
      <c r="R267">
        <v>15</v>
      </c>
      <c r="S267">
        <v>7</v>
      </c>
      <c r="T267">
        <v>19</v>
      </c>
      <c r="U267">
        <v>9</v>
      </c>
      <c r="V267">
        <v>11</v>
      </c>
      <c r="W267">
        <v>4</v>
      </c>
      <c r="X267">
        <v>2</v>
      </c>
      <c r="Y267">
        <v>4</v>
      </c>
      <c r="Z267">
        <v>3</v>
      </c>
      <c r="AA267">
        <v>0</v>
      </c>
      <c r="AB267">
        <v>4</v>
      </c>
      <c r="AC267" s="18">
        <f>SUMPRODUCT(OG_Data!D$1:S$1, M267:AB267) /SUM(M267:AB267)</f>
        <v>7.7884615384615383</v>
      </c>
      <c r="AD267">
        <f t="shared" si="31"/>
        <v>104</v>
      </c>
      <c r="AE267">
        <v>0</v>
      </c>
      <c r="AF267">
        <v>6</v>
      </c>
      <c r="AG267">
        <v>25</v>
      </c>
      <c r="AH267">
        <f>Table3[[#This Row],[Flies_per_Vial]]*Table3[[#This Row],[Vials_Total_UsedInMaze]]</f>
        <v>150</v>
      </c>
      <c r="AI267">
        <f>Table3[[#This Row],[total_Flies]]/Table3[[#This Row],[flies_in]]</f>
        <v>0.69333333333333336</v>
      </c>
      <c r="AJ267"/>
      <c r="AK267" s="31">
        <f t="shared" si="32"/>
        <v>13.416666666666668</v>
      </c>
      <c r="AL267" s="31">
        <f t="shared" si="33"/>
        <v>17.05</v>
      </c>
      <c r="AM267" s="31">
        <f>Table3[[#This Row],[end_time_num]]-Table3[[#This Row],[start_time_num]]</f>
        <v>3.6333333333333329</v>
      </c>
      <c r="AN267" s="19" t="s">
        <v>147</v>
      </c>
    </row>
    <row r="268" spans="1:40" x14ac:dyDescent="0.35">
      <c r="A268">
        <v>15</v>
      </c>
      <c r="B268">
        <v>2</v>
      </c>
      <c r="C268" s="19" t="s">
        <v>155</v>
      </c>
      <c r="D268" t="s">
        <v>159</v>
      </c>
      <c r="E268" s="2">
        <v>0.55902777777777779</v>
      </c>
      <c r="F268" s="2">
        <v>0.71388888888888891</v>
      </c>
      <c r="G268" s="13">
        <v>0.15486111111111112</v>
      </c>
      <c r="H268" s="20" t="s">
        <v>142</v>
      </c>
      <c r="I268" s="19" t="s">
        <v>6</v>
      </c>
      <c r="J268">
        <v>3</v>
      </c>
      <c r="K268" s="19" t="s">
        <v>4</v>
      </c>
      <c r="L268" s="14" t="s">
        <v>0</v>
      </c>
      <c r="M268">
        <v>12</v>
      </c>
      <c r="N268">
        <v>12</v>
      </c>
      <c r="O268">
        <v>14</v>
      </c>
      <c r="P268">
        <v>9</v>
      </c>
      <c r="Q268">
        <v>9</v>
      </c>
      <c r="R268">
        <v>10</v>
      </c>
      <c r="S268">
        <v>16</v>
      </c>
      <c r="T268">
        <v>7</v>
      </c>
      <c r="U268">
        <v>5</v>
      </c>
      <c r="V268">
        <v>1</v>
      </c>
      <c r="W268">
        <v>4</v>
      </c>
      <c r="X268">
        <v>0</v>
      </c>
      <c r="Y268">
        <v>1</v>
      </c>
      <c r="Z268">
        <v>0</v>
      </c>
      <c r="AA268">
        <v>0</v>
      </c>
      <c r="AB268">
        <v>0</v>
      </c>
      <c r="AC268" s="18">
        <f>SUMPRODUCT(OG_Data!D$1:S$1, M268:AB268) /SUM(M268:AB268)</f>
        <v>4.99</v>
      </c>
      <c r="AD268">
        <f t="shared" si="31"/>
        <v>100</v>
      </c>
      <c r="AE268">
        <v>0</v>
      </c>
      <c r="AF268">
        <v>6</v>
      </c>
      <c r="AG268">
        <v>25</v>
      </c>
      <c r="AH268">
        <f>Table3[[#This Row],[Flies_per_Vial]]*Table3[[#This Row],[Vials_Total_UsedInMaze]]</f>
        <v>150</v>
      </c>
      <c r="AI268">
        <f>Table3[[#This Row],[total_Flies]]/Table3[[#This Row],[flies_in]]</f>
        <v>0.66666666666666663</v>
      </c>
      <c r="AJ268"/>
      <c r="AK268" s="31">
        <f t="shared" si="32"/>
        <v>13.416666666666668</v>
      </c>
      <c r="AL268" s="31">
        <f t="shared" si="33"/>
        <v>17.133333333333333</v>
      </c>
      <c r="AM268" s="31">
        <f>Table3[[#This Row],[end_time_num]]-Table3[[#This Row],[start_time_num]]</f>
        <v>3.716666666666665</v>
      </c>
      <c r="AN268" s="19" t="s">
        <v>147</v>
      </c>
    </row>
    <row r="269" spans="1:40" x14ac:dyDescent="0.35">
      <c r="A269">
        <v>15</v>
      </c>
      <c r="B269">
        <v>2</v>
      </c>
      <c r="C269" s="19" t="s">
        <v>155</v>
      </c>
      <c r="D269" t="s">
        <v>159</v>
      </c>
      <c r="E269" s="2">
        <v>0.55902777777777779</v>
      </c>
      <c r="F269" s="2">
        <v>0.71736111111111112</v>
      </c>
      <c r="G269" s="13">
        <v>0.15833333333333333</v>
      </c>
      <c r="H269" s="20" t="s">
        <v>142</v>
      </c>
      <c r="I269" s="19" t="s">
        <v>6</v>
      </c>
      <c r="J269">
        <v>3</v>
      </c>
      <c r="K269" s="19" t="s">
        <v>2</v>
      </c>
      <c r="L269" s="14" t="s">
        <v>0</v>
      </c>
      <c r="M269">
        <v>34</v>
      </c>
      <c r="N269">
        <v>22</v>
      </c>
      <c r="O269">
        <v>18</v>
      </c>
      <c r="P269">
        <v>3</v>
      </c>
      <c r="Q269">
        <v>5</v>
      </c>
      <c r="R269">
        <v>6</v>
      </c>
      <c r="S269">
        <v>5</v>
      </c>
      <c r="T269">
        <v>1</v>
      </c>
      <c r="U269">
        <v>3</v>
      </c>
      <c r="V269">
        <v>5</v>
      </c>
      <c r="W269">
        <v>2</v>
      </c>
      <c r="X269">
        <v>2</v>
      </c>
      <c r="Y269">
        <v>3</v>
      </c>
      <c r="Z269">
        <v>3</v>
      </c>
      <c r="AA269">
        <v>2</v>
      </c>
      <c r="AB269">
        <v>0</v>
      </c>
      <c r="AC269" s="18">
        <f>SUMPRODUCT(OG_Data!D$1:S$1, M269:AB269) /SUM(M269:AB269)</f>
        <v>4.2280701754385968</v>
      </c>
      <c r="AD269">
        <f t="shared" si="31"/>
        <v>114</v>
      </c>
      <c r="AE269">
        <v>0</v>
      </c>
      <c r="AF269">
        <v>6</v>
      </c>
      <c r="AG269">
        <v>25</v>
      </c>
      <c r="AH269">
        <f>Table3[[#This Row],[Flies_per_Vial]]*Table3[[#This Row],[Vials_Total_UsedInMaze]]</f>
        <v>150</v>
      </c>
      <c r="AI269">
        <f>Table3[[#This Row],[total_Flies]]/Table3[[#This Row],[flies_in]]</f>
        <v>0.76</v>
      </c>
      <c r="AJ269"/>
      <c r="AK269" s="31">
        <f t="shared" si="32"/>
        <v>13.416666666666668</v>
      </c>
      <c r="AL269" s="31">
        <f t="shared" si="33"/>
        <v>17.216666666666669</v>
      </c>
      <c r="AM269" s="31">
        <f>Table3[[#This Row],[end_time_num]]-Table3[[#This Row],[start_time_num]]</f>
        <v>3.8000000000000007</v>
      </c>
      <c r="AN269" s="19" t="s">
        <v>147</v>
      </c>
    </row>
    <row r="270" spans="1:40" x14ac:dyDescent="0.35">
      <c r="A270">
        <v>15</v>
      </c>
      <c r="B270">
        <v>2</v>
      </c>
      <c r="C270" s="19" t="s">
        <v>155</v>
      </c>
      <c r="D270" t="s">
        <v>159</v>
      </c>
      <c r="E270" s="2">
        <v>0.55902777777777779</v>
      </c>
      <c r="F270" s="2">
        <v>0.72361111111111109</v>
      </c>
      <c r="G270" s="13">
        <v>0.1645833333333333</v>
      </c>
      <c r="H270" s="20" t="s">
        <v>142</v>
      </c>
      <c r="I270" s="19" t="s">
        <v>6</v>
      </c>
      <c r="J270">
        <v>3</v>
      </c>
      <c r="K270" s="19" t="s">
        <v>1</v>
      </c>
      <c r="L270" s="14" t="s">
        <v>3</v>
      </c>
      <c r="M270">
        <v>2</v>
      </c>
      <c r="N270">
        <v>8</v>
      </c>
      <c r="O270">
        <v>6</v>
      </c>
      <c r="P270">
        <v>10</v>
      </c>
      <c r="Q270">
        <v>16</v>
      </c>
      <c r="R270">
        <v>11</v>
      </c>
      <c r="S270">
        <v>16</v>
      </c>
      <c r="T270">
        <v>10</v>
      </c>
      <c r="U270">
        <v>8</v>
      </c>
      <c r="V270">
        <v>1</v>
      </c>
      <c r="W270">
        <v>2</v>
      </c>
      <c r="X270">
        <v>2</v>
      </c>
      <c r="Y270">
        <v>0</v>
      </c>
      <c r="Z270">
        <v>0</v>
      </c>
      <c r="AA270">
        <v>0</v>
      </c>
      <c r="AB270">
        <v>0</v>
      </c>
      <c r="AC270" s="18">
        <f>SUMPRODUCT(OG_Data!D$1:S$1, M270:AB270) /SUM(M270:AB270)</f>
        <v>5.8913043478260869</v>
      </c>
      <c r="AD270">
        <f t="shared" si="31"/>
        <v>92</v>
      </c>
      <c r="AE270">
        <v>0</v>
      </c>
      <c r="AF270">
        <v>6</v>
      </c>
      <c r="AG270">
        <v>25</v>
      </c>
      <c r="AH270">
        <f>Table3[[#This Row],[Flies_per_Vial]]*Table3[[#This Row],[Vials_Total_UsedInMaze]]</f>
        <v>150</v>
      </c>
      <c r="AI270">
        <f>Table3[[#This Row],[total_Flies]]/Table3[[#This Row],[flies_in]]</f>
        <v>0.61333333333333329</v>
      </c>
      <c r="AJ270"/>
      <c r="AK270" s="31">
        <f t="shared" si="32"/>
        <v>13.416666666666668</v>
      </c>
      <c r="AL270" s="31">
        <f t="shared" si="33"/>
        <v>17.366666666666667</v>
      </c>
      <c r="AM270" s="31">
        <f>Table3[[#This Row],[end_time_num]]-Table3[[#This Row],[start_time_num]]</f>
        <v>3.9499999999999993</v>
      </c>
      <c r="AN270" s="19" t="s">
        <v>147</v>
      </c>
    </row>
    <row r="271" spans="1:40" x14ac:dyDescent="0.35">
      <c r="A271">
        <v>15</v>
      </c>
      <c r="B271">
        <v>3</v>
      </c>
      <c r="C271" s="19" t="s">
        <v>154</v>
      </c>
      <c r="D271" t="s">
        <v>160</v>
      </c>
      <c r="E271" s="2">
        <v>0.41666666666666669</v>
      </c>
      <c r="F271" s="2">
        <v>0.53472222222222221</v>
      </c>
      <c r="G271" s="13">
        <v>0.11805555555555552</v>
      </c>
      <c r="H271" s="20" t="s">
        <v>136</v>
      </c>
      <c r="I271" t="s">
        <v>2</v>
      </c>
      <c r="J271">
        <v>1</v>
      </c>
      <c r="K271" s="19" t="s">
        <v>5</v>
      </c>
      <c r="L271" s="14" t="s">
        <v>3</v>
      </c>
      <c r="M271">
        <v>1</v>
      </c>
      <c r="N271">
        <v>0</v>
      </c>
      <c r="O271">
        <v>1</v>
      </c>
      <c r="P271">
        <v>1</v>
      </c>
      <c r="Q271">
        <v>3</v>
      </c>
      <c r="R271">
        <v>5</v>
      </c>
      <c r="S271">
        <v>2</v>
      </c>
      <c r="T271">
        <v>0</v>
      </c>
      <c r="U271">
        <v>1</v>
      </c>
      <c r="V271">
        <v>8</v>
      </c>
      <c r="W271">
        <v>6</v>
      </c>
      <c r="X271">
        <v>8</v>
      </c>
      <c r="Y271">
        <v>3</v>
      </c>
      <c r="Z271">
        <v>5</v>
      </c>
      <c r="AA271">
        <v>28</v>
      </c>
      <c r="AB271">
        <v>16</v>
      </c>
      <c r="AC271" s="18">
        <f>SUMPRODUCT(OG_Data!D$1:S$1, M271:AB271) /SUM(M271:AB271)</f>
        <v>12.534090909090908</v>
      </c>
      <c r="AD271">
        <f t="shared" ref="AD271:AD274" si="34">SUM(M271:AB271)</f>
        <v>88</v>
      </c>
      <c r="AE271">
        <v>0</v>
      </c>
      <c r="AF271">
        <v>6</v>
      </c>
      <c r="AG271">
        <v>25</v>
      </c>
      <c r="AH271">
        <f>Table3[[#This Row],[Flies_per_Vial]]*Table3[[#This Row],[Vials_Total_UsedInMaze]]</f>
        <v>150</v>
      </c>
      <c r="AI271">
        <f>Table3[[#This Row],[total_Flies]]/Table3[[#This Row],[flies_in]]</f>
        <v>0.58666666666666667</v>
      </c>
      <c r="AJ271"/>
      <c r="AK271" s="31">
        <f t="shared" ref="AK271:AK274" si="35">24*E271</f>
        <v>10</v>
      </c>
      <c r="AL271" s="31">
        <f t="shared" ref="AL271:AL274" si="36">24*F271</f>
        <v>12.833333333333332</v>
      </c>
      <c r="AM271" s="31">
        <f>Table3[[#This Row],[end_time_num]]-Table3[[#This Row],[start_time_num]]</f>
        <v>2.8333333333333321</v>
      </c>
      <c r="AN271" t="s">
        <v>148</v>
      </c>
    </row>
    <row r="272" spans="1:40" x14ac:dyDescent="0.35">
      <c r="A272">
        <v>15</v>
      </c>
      <c r="B272">
        <v>3</v>
      </c>
      <c r="C272" s="19" t="s">
        <v>154</v>
      </c>
      <c r="D272" t="s">
        <v>160</v>
      </c>
      <c r="E272" s="2">
        <v>0.41666666666666669</v>
      </c>
      <c r="F272" s="2">
        <v>0.53611111111111109</v>
      </c>
      <c r="G272" s="13">
        <v>0.11944444444444441</v>
      </c>
      <c r="H272" s="20" t="s">
        <v>136</v>
      </c>
      <c r="I272" t="s">
        <v>2</v>
      </c>
      <c r="J272">
        <v>1</v>
      </c>
      <c r="K272" s="19" t="s">
        <v>4</v>
      </c>
      <c r="L272" s="14" t="s">
        <v>0</v>
      </c>
      <c r="M272">
        <v>1</v>
      </c>
      <c r="N272">
        <v>6</v>
      </c>
      <c r="O272">
        <v>5</v>
      </c>
      <c r="P272">
        <v>5</v>
      </c>
      <c r="Q272">
        <v>10</v>
      </c>
      <c r="R272">
        <v>7</v>
      </c>
      <c r="S272">
        <v>5</v>
      </c>
      <c r="T272">
        <v>11</v>
      </c>
      <c r="U272">
        <v>2</v>
      </c>
      <c r="V272">
        <v>2</v>
      </c>
      <c r="W272">
        <v>4</v>
      </c>
      <c r="X272">
        <v>3</v>
      </c>
      <c r="Y272">
        <v>2</v>
      </c>
      <c r="Z272">
        <v>3</v>
      </c>
      <c r="AA272">
        <v>2</v>
      </c>
      <c r="AB272">
        <v>1</v>
      </c>
      <c r="AC272" s="18">
        <f>SUMPRODUCT(OG_Data!D$1:S$1, M272:AB272) /SUM(M272:AB272)</f>
        <v>7.1739130434782608</v>
      </c>
      <c r="AD272">
        <f t="shared" si="34"/>
        <v>69</v>
      </c>
      <c r="AE272">
        <v>0</v>
      </c>
      <c r="AF272">
        <v>4</v>
      </c>
      <c r="AG272">
        <v>25</v>
      </c>
      <c r="AH272">
        <f>Table3[[#This Row],[Flies_per_Vial]]*Table3[[#This Row],[Vials_Total_UsedInMaze]]</f>
        <v>100</v>
      </c>
      <c r="AI272">
        <f>Table3[[#This Row],[total_Flies]]/Table3[[#This Row],[flies_in]]</f>
        <v>0.69</v>
      </c>
      <c r="AJ272"/>
      <c r="AK272" s="31">
        <f t="shared" si="35"/>
        <v>10</v>
      </c>
      <c r="AL272" s="31">
        <f t="shared" si="36"/>
        <v>12.866666666666667</v>
      </c>
      <c r="AM272" s="31">
        <f>Table3[[#This Row],[end_time_num]]-Table3[[#This Row],[start_time_num]]</f>
        <v>2.8666666666666671</v>
      </c>
      <c r="AN272" t="s">
        <v>148</v>
      </c>
    </row>
    <row r="273" spans="1:40" x14ac:dyDescent="0.35">
      <c r="A273">
        <v>15</v>
      </c>
      <c r="B273">
        <v>3</v>
      </c>
      <c r="C273" s="19" t="s">
        <v>154</v>
      </c>
      <c r="D273" t="s">
        <v>160</v>
      </c>
      <c r="E273" s="2">
        <v>0.41666666666666669</v>
      </c>
      <c r="F273" s="2">
        <v>0.53749999999999998</v>
      </c>
      <c r="G273" s="13">
        <v>0.12083333333333329</v>
      </c>
      <c r="H273" s="20" t="s">
        <v>136</v>
      </c>
      <c r="I273" t="s">
        <v>2</v>
      </c>
      <c r="J273">
        <v>1</v>
      </c>
      <c r="K273" s="19" t="s">
        <v>2</v>
      </c>
      <c r="L273" s="14" t="s">
        <v>0</v>
      </c>
      <c r="M273">
        <v>1</v>
      </c>
      <c r="N273">
        <v>9</v>
      </c>
      <c r="O273">
        <v>13</v>
      </c>
      <c r="P273">
        <v>4</v>
      </c>
      <c r="Q273">
        <v>2</v>
      </c>
      <c r="R273">
        <v>2</v>
      </c>
      <c r="S273">
        <v>5</v>
      </c>
      <c r="T273">
        <v>9</v>
      </c>
      <c r="U273">
        <v>17</v>
      </c>
      <c r="V273">
        <v>4</v>
      </c>
      <c r="W273">
        <v>6</v>
      </c>
      <c r="X273">
        <v>1</v>
      </c>
      <c r="Y273">
        <v>2</v>
      </c>
      <c r="Z273">
        <v>3</v>
      </c>
      <c r="AA273">
        <v>2</v>
      </c>
      <c r="AB273">
        <v>0</v>
      </c>
      <c r="AC273" s="18">
        <f>SUMPRODUCT(OG_Data!D$1:S$1, M273:AB273) /SUM(M273:AB273)</f>
        <v>7.15</v>
      </c>
      <c r="AD273">
        <f t="shared" si="34"/>
        <v>80</v>
      </c>
      <c r="AE273">
        <v>0</v>
      </c>
      <c r="AF273">
        <v>5</v>
      </c>
      <c r="AG273">
        <v>25</v>
      </c>
      <c r="AH273">
        <f>Table3[[#This Row],[Flies_per_Vial]]*Table3[[#This Row],[Vials_Total_UsedInMaze]]</f>
        <v>125</v>
      </c>
      <c r="AI273">
        <f>Table3[[#This Row],[total_Flies]]/Table3[[#This Row],[flies_in]]</f>
        <v>0.64</v>
      </c>
      <c r="AJ273"/>
      <c r="AK273" s="31">
        <f t="shared" si="35"/>
        <v>10</v>
      </c>
      <c r="AL273" s="31">
        <f t="shared" si="36"/>
        <v>12.899999999999999</v>
      </c>
      <c r="AM273" s="31">
        <f>Table3[[#This Row],[end_time_num]]-Table3[[#This Row],[start_time_num]]</f>
        <v>2.8999999999999986</v>
      </c>
      <c r="AN273" t="s">
        <v>148</v>
      </c>
    </row>
    <row r="274" spans="1:40" x14ac:dyDescent="0.35">
      <c r="A274">
        <v>15</v>
      </c>
      <c r="B274">
        <v>3</v>
      </c>
      <c r="C274" s="19" t="s">
        <v>154</v>
      </c>
      <c r="D274" t="s">
        <v>160</v>
      </c>
      <c r="E274" s="2">
        <v>0.41666666666666669</v>
      </c>
      <c r="F274" s="2">
        <v>0.54236111111111107</v>
      </c>
      <c r="G274" s="13">
        <v>0.12569444444444439</v>
      </c>
      <c r="H274" s="20" t="s">
        <v>136</v>
      </c>
      <c r="I274" t="s">
        <v>2</v>
      </c>
      <c r="J274">
        <v>1</v>
      </c>
      <c r="K274" s="19" t="s">
        <v>1</v>
      </c>
      <c r="L274" s="14" t="s">
        <v>3</v>
      </c>
      <c r="M274">
        <v>4</v>
      </c>
      <c r="N274">
        <v>3</v>
      </c>
      <c r="O274">
        <v>1</v>
      </c>
      <c r="P274">
        <v>3</v>
      </c>
      <c r="Q274">
        <v>5</v>
      </c>
      <c r="R274">
        <v>9</v>
      </c>
      <c r="S274">
        <v>6</v>
      </c>
      <c r="T274">
        <v>8</v>
      </c>
      <c r="U274">
        <v>6</v>
      </c>
      <c r="V274">
        <v>0</v>
      </c>
      <c r="W274">
        <v>7</v>
      </c>
      <c r="X274">
        <v>6</v>
      </c>
      <c r="Y274">
        <v>9</v>
      </c>
      <c r="Z274">
        <v>7</v>
      </c>
      <c r="AA274">
        <v>2</v>
      </c>
      <c r="AB274">
        <v>0</v>
      </c>
      <c r="AC274" s="18">
        <f>SUMPRODUCT(OG_Data!D$1:S$1, M274:AB274) /SUM(M274:AB274)</f>
        <v>8.6578947368421044</v>
      </c>
      <c r="AD274">
        <f t="shared" si="34"/>
        <v>76</v>
      </c>
      <c r="AE274">
        <v>0</v>
      </c>
      <c r="AF274">
        <v>6</v>
      </c>
      <c r="AG274">
        <v>25</v>
      </c>
      <c r="AH274">
        <f>Table3[[#This Row],[Flies_per_Vial]]*Table3[[#This Row],[Vials_Total_UsedInMaze]]</f>
        <v>150</v>
      </c>
      <c r="AI274">
        <f>Table3[[#This Row],[total_Flies]]/Table3[[#This Row],[flies_in]]</f>
        <v>0.50666666666666671</v>
      </c>
      <c r="AJ274"/>
      <c r="AK274" s="31">
        <f t="shared" si="35"/>
        <v>10</v>
      </c>
      <c r="AL274" s="31">
        <f t="shared" si="36"/>
        <v>13.016666666666666</v>
      </c>
      <c r="AM274" s="31">
        <f>Table3[[#This Row],[end_time_num]]-Table3[[#This Row],[start_time_num]]</f>
        <v>3.0166666666666657</v>
      </c>
      <c r="AN274" t="s">
        <v>148</v>
      </c>
    </row>
    <row r="275" spans="1:40" x14ac:dyDescent="0.35">
      <c r="A275">
        <v>15</v>
      </c>
      <c r="B275">
        <v>3</v>
      </c>
      <c r="C275" s="19" t="s">
        <v>155</v>
      </c>
      <c r="D275" t="s">
        <v>160</v>
      </c>
      <c r="E275" s="2">
        <v>0.5625</v>
      </c>
      <c r="F275" s="2">
        <v>0.73055555555555551</v>
      </c>
      <c r="G275" s="13">
        <v>0.16805555555555551</v>
      </c>
      <c r="H275" s="20" t="s">
        <v>136</v>
      </c>
      <c r="I275" t="s">
        <v>2</v>
      </c>
      <c r="J275">
        <v>2</v>
      </c>
      <c r="K275" s="19" t="s">
        <v>5</v>
      </c>
      <c r="L275" s="14" t="s">
        <v>3</v>
      </c>
      <c r="M275">
        <v>0</v>
      </c>
      <c r="N275">
        <v>2</v>
      </c>
      <c r="O275">
        <v>3</v>
      </c>
      <c r="P275">
        <v>4</v>
      </c>
      <c r="Q275">
        <v>6</v>
      </c>
      <c r="R275">
        <v>6</v>
      </c>
      <c r="S275">
        <v>3</v>
      </c>
      <c r="T275">
        <v>0</v>
      </c>
      <c r="U275">
        <v>1</v>
      </c>
      <c r="V275">
        <v>5</v>
      </c>
      <c r="W275">
        <v>6</v>
      </c>
      <c r="X275">
        <v>0</v>
      </c>
      <c r="Y275">
        <v>11</v>
      </c>
      <c r="Z275">
        <v>9</v>
      </c>
      <c r="AA275">
        <v>37</v>
      </c>
      <c r="AB275">
        <v>20</v>
      </c>
      <c r="AC275" s="18">
        <f>SUMPRODUCT(OG_Data!D$1:S$1, M275:AB275) /SUM(M275:AB275)</f>
        <v>12.256637168141593</v>
      </c>
      <c r="AD275">
        <f t="shared" ref="AD275:AD285" si="37">SUM(M275:AB275)</f>
        <v>113</v>
      </c>
      <c r="AE275">
        <v>0</v>
      </c>
      <c r="AF275">
        <v>6</v>
      </c>
      <c r="AG275">
        <v>25</v>
      </c>
      <c r="AH275">
        <f>Table3[[#This Row],[Flies_per_Vial]]*Table3[[#This Row],[Vials_Total_UsedInMaze]]</f>
        <v>150</v>
      </c>
      <c r="AI275">
        <f>Table3[[#This Row],[total_Flies]]/Table3[[#This Row],[flies_in]]</f>
        <v>0.7533333333333333</v>
      </c>
      <c r="AJ275"/>
      <c r="AK275" s="31">
        <f t="shared" ref="AK275:AK285" si="38">24*E275</f>
        <v>13.5</v>
      </c>
      <c r="AL275" s="31">
        <f t="shared" ref="AL275:AL285" si="39">24*F275</f>
        <v>17.533333333333331</v>
      </c>
      <c r="AM275" s="31">
        <f>Table3[[#This Row],[end_time_num]]-Table3[[#This Row],[start_time_num]]</f>
        <v>4.0333333333333314</v>
      </c>
      <c r="AN275" t="s">
        <v>148</v>
      </c>
    </row>
    <row r="276" spans="1:40" x14ac:dyDescent="0.35">
      <c r="A276">
        <v>15</v>
      </c>
      <c r="B276">
        <v>3</v>
      </c>
      <c r="C276" s="19" t="s">
        <v>155</v>
      </c>
      <c r="D276" t="s">
        <v>160</v>
      </c>
      <c r="E276" s="2">
        <v>0.5625</v>
      </c>
      <c r="F276" s="2">
        <v>0.7319444444444444</v>
      </c>
      <c r="G276" s="13">
        <v>0.1694444444444444</v>
      </c>
      <c r="H276" s="20" t="s">
        <v>136</v>
      </c>
      <c r="I276" t="s">
        <v>2</v>
      </c>
      <c r="J276">
        <v>2</v>
      </c>
      <c r="K276" s="19" t="s">
        <v>4</v>
      </c>
      <c r="L276" s="14" t="s">
        <v>0</v>
      </c>
      <c r="M276">
        <v>11</v>
      </c>
      <c r="N276">
        <v>7</v>
      </c>
      <c r="O276">
        <v>7</v>
      </c>
      <c r="P276">
        <v>10</v>
      </c>
      <c r="Q276">
        <v>15</v>
      </c>
      <c r="R276">
        <v>15</v>
      </c>
      <c r="S276">
        <v>9</v>
      </c>
      <c r="T276">
        <v>9</v>
      </c>
      <c r="U276">
        <v>5</v>
      </c>
      <c r="V276">
        <v>5</v>
      </c>
      <c r="W276">
        <v>4</v>
      </c>
      <c r="X276">
        <v>5</v>
      </c>
      <c r="Y276">
        <v>0</v>
      </c>
      <c r="Z276">
        <v>1</v>
      </c>
      <c r="AA276">
        <v>1</v>
      </c>
      <c r="AB276">
        <v>0</v>
      </c>
      <c r="AC276" s="18">
        <f>SUMPRODUCT(OG_Data!D$1:S$1, M276:AB276) /SUM(M276:AB276)</f>
        <v>5.9038461538461542</v>
      </c>
      <c r="AD276">
        <f t="shared" si="37"/>
        <v>104</v>
      </c>
      <c r="AE276">
        <v>0</v>
      </c>
      <c r="AF276">
        <v>5</v>
      </c>
      <c r="AG276">
        <v>25</v>
      </c>
      <c r="AH276">
        <f>Table3[[#This Row],[Flies_per_Vial]]*Table3[[#This Row],[Vials_Total_UsedInMaze]]</f>
        <v>125</v>
      </c>
      <c r="AI276">
        <f>Table3[[#This Row],[total_Flies]]/Table3[[#This Row],[flies_in]]</f>
        <v>0.83199999999999996</v>
      </c>
      <c r="AJ276"/>
      <c r="AK276" s="31">
        <f t="shared" si="38"/>
        <v>13.5</v>
      </c>
      <c r="AL276" s="31">
        <f t="shared" si="39"/>
        <v>17.566666666666666</v>
      </c>
      <c r="AM276" s="31">
        <f>Table3[[#This Row],[end_time_num]]-Table3[[#This Row],[start_time_num]]</f>
        <v>4.0666666666666664</v>
      </c>
      <c r="AN276" t="s">
        <v>148</v>
      </c>
    </row>
    <row r="277" spans="1:40" x14ac:dyDescent="0.35">
      <c r="A277">
        <v>15</v>
      </c>
      <c r="B277">
        <v>3</v>
      </c>
      <c r="C277" s="19" t="s">
        <v>155</v>
      </c>
      <c r="D277" t="s">
        <v>160</v>
      </c>
      <c r="E277" s="2">
        <v>0.5625</v>
      </c>
      <c r="F277" s="2">
        <v>0.73402777777777772</v>
      </c>
      <c r="G277" s="13">
        <v>0.17152777777777772</v>
      </c>
      <c r="H277" s="20" t="s">
        <v>136</v>
      </c>
      <c r="I277" t="s">
        <v>2</v>
      </c>
      <c r="J277">
        <v>2</v>
      </c>
      <c r="K277" s="19" t="s">
        <v>1</v>
      </c>
      <c r="L277" s="14" t="s">
        <v>3</v>
      </c>
      <c r="M277">
        <v>1</v>
      </c>
      <c r="N277">
        <v>3</v>
      </c>
      <c r="O277">
        <v>7</v>
      </c>
      <c r="P277">
        <v>5</v>
      </c>
      <c r="Q277">
        <v>17</v>
      </c>
      <c r="R277">
        <v>7</v>
      </c>
      <c r="S277">
        <v>7</v>
      </c>
      <c r="T277">
        <v>15</v>
      </c>
      <c r="U277">
        <v>2</v>
      </c>
      <c r="V277">
        <v>0</v>
      </c>
      <c r="W277">
        <v>6</v>
      </c>
      <c r="X277">
        <v>5</v>
      </c>
      <c r="Y277">
        <v>9</v>
      </c>
      <c r="Z277">
        <v>4</v>
      </c>
      <c r="AA277">
        <v>6</v>
      </c>
      <c r="AB277">
        <v>1</v>
      </c>
      <c r="AC277" s="18">
        <f>SUMPRODUCT(OG_Data!D$1:S$1, M277:AB277) /SUM(M277:AB277)</f>
        <v>8.0736842105263165</v>
      </c>
      <c r="AD277">
        <f t="shared" si="37"/>
        <v>95</v>
      </c>
      <c r="AE277">
        <v>0</v>
      </c>
      <c r="AF277">
        <v>6</v>
      </c>
      <c r="AG277">
        <v>25</v>
      </c>
      <c r="AH277">
        <f>Table3[[#This Row],[Flies_per_Vial]]*Table3[[#This Row],[Vials_Total_UsedInMaze]]</f>
        <v>150</v>
      </c>
      <c r="AI277">
        <f>Table3[[#This Row],[total_Flies]]/Table3[[#This Row],[flies_in]]</f>
        <v>0.6333333333333333</v>
      </c>
      <c r="AJ277"/>
      <c r="AK277" s="31">
        <f t="shared" si="38"/>
        <v>13.5</v>
      </c>
      <c r="AL277" s="31">
        <f t="shared" si="39"/>
        <v>17.616666666666667</v>
      </c>
      <c r="AM277" s="31">
        <f>Table3[[#This Row],[end_time_num]]-Table3[[#This Row],[start_time_num]]</f>
        <v>4.1166666666666671</v>
      </c>
      <c r="AN277" t="s">
        <v>148</v>
      </c>
    </row>
    <row r="278" spans="1:40" x14ac:dyDescent="0.35">
      <c r="A278">
        <v>15</v>
      </c>
      <c r="B278">
        <v>4</v>
      </c>
      <c r="C278" s="19" t="s">
        <v>154</v>
      </c>
      <c r="D278" t="s">
        <v>161</v>
      </c>
      <c r="E278" s="2">
        <v>0.38194444444444442</v>
      </c>
      <c r="F278" s="2">
        <v>0.5395833333333333</v>
      </c>
      <c r="G278" s="13">
        <v>0.15763888888888888</v>
      </c>
      <c r="H278" s="20" t="s">
        <v>136</v>
      </c>
      <c r="I278" t="s">
        <v>2</v>
      </c>
      <c r="J278">
        <v>3</v>
      </c>
      <c r="K278" s="19" t="s">
        <v>5</v>
      </c>
      <c r="L278" s="14" t="s">
        <v>3</v>
      </c>
      <c r="M278">
        <v>0</v>
      </c>
      <c r="N278">
        <v>0</v>
      </c>
      <c r="O278">
        <v>1</v>
      </c>
      <c r="P278">
        <v>0</v>
      </c>
      <c r="Q278">
        <v>6</v>
      </c>
      <c r="R278">
        <v>2</v>
      </c>
      <c r="S278">
        <v>0</v>
      </c>
      <c r="T278">
        <v>1</v>
      </c>
      <c r="U278">
        <v>1</v>
      </c>
      <c r="V278">
        <v>5</v>
      </c>
      <c r="W278">
        <v>4</v>
      </c>
      <c r="X278">
        <v>8</v>
      </c>
      <c r="Y278">
        <v>8</v>
      </c>
      <c r="Z278">
        <v>9</v>
      </c>
      <c r="AA278">
        <v>25</v>
      </c>
      <c r="AB278">
        <v>17</v>
      </c>
      <c r="AC278" s="18">
        <f>SUMPRODUCT(OG_Data!D$1:S$1, M278:AB278) /SUM(M278:AB278)</f>
        <v>12.977011494252874</v>
      </c>
      <c r="AD278">
        <f t="shared" si="37"/>
        <v>87</v>
      </c>
      <c r="AE278">
        <v>0</v>
      </c>
      <c r="AF278">
        <v>6</v>
      </c>
      <c r="AG278">
        <v>25</v>
      </c>
      <c r="AH278">
        <f>Table3[[#This Row],[Flies_per_Vial]]*Table3[[#This Row],[Vials_Total_UsedInMaze]]</f>
        <v>150</v>
      </c>
      <c r="AI278">
        <f>Table3[[#This Row],[total_Flies]]/Table3[[#This Row],[flies_in]]</f>
        <v>0.57999999999999996</v>
      </c>
      <c r="AJ278"/>
      <c r="AK278" s="31">
        <f t="shared" si="38"/>
        <v>9.1666666666666661</v>
      </c>
      <c r="AL278" s="31">
        <f t="shared" si="39"/>
        <v>12.95</v>
      </c>
      <c r="AM278" s="31">
        <f>Table3[[#This Row],[end_time_num]]-Table3[[#This Row],[start_time_num]]</f>
        <v>3.7833333333333332</v>
      </c>
      <c r="AN278" t="s">
        <v>148</v>
      </c>
    </row>
    <row r="279" spans="1:40" x14ac:dyDescent="0.35">
      <c r="A279">
        <v>15</v>
      </c>
      <c r="B279">
        <v>4</v>
      </c>
      <c r="C279" s="19" t="s">
        <v>154</v>
      </c>
      <c r="D279" t="s">
        <v>161</v>
      </c>
      <c r="E279" s="2">
        <v>0.38194444444444442</v>
      </c>
      <c r="F279" s="2">
        <v>0.54166666666666663</v>
      </c>
      <c r="G279" s="13">
        <v>0.15972222222222221</v>
      </c>
      <c r="H279" s="20" t="s">
        <v>136</v>
      </c>
      <c r="I279" t="s">
        <v>2</v>
      </c>
      <c r="J279">
        <v>3</v>
      </c>
      <c r="K279" s="19" t="s">
        <v>4</v>
      </c>
      <c r="L279" s="14" t="s">
        <v>0</v>
      </c>
      <c r="M279">
        <v>7</v>
      </c>
      <c r="N279">
        <v>3</v>
      </c>
      <c r="O279">
        <v>2</v>
      </c>
      <c r="P279">
        <v>2</v>
      </c>
      <c r="Q279">
        <v>4</v>
      </c>
      <c r="R279">
        <v>9</v>
      </c>
      <c r="S279">
        <v>5</v>
      </c>
      <c r="T279">
        <v>5</v>
      </c>
      <c r="U279">
        <v>2</v>
      </c>
      <c r="V279">
        <v>2</v>
      </c>
      <c r="W279">
        <v>4</v>
      </c>
      <c r="X279">
        <v>6</v>
      </c>
      <c r="Y279">
        <v>1</v>
      </c>
      <c r="Z279">
        <v>2</v>
      </c>
      <c r="AA279">
        <v>1</v>
      </c>
      <c r="AB279">
        <v>1</v>
      </c>
      <c r="AC279" s="18">
        <f>SUMPRODUCT(OG_Data!D$1:S$1, M279:AB279) /SUM(M279:AB279)</f>
        <v>7.1785714285714288</v>
      </c>
      <c r="AD279">
        <f t="shared" si="37"/>
        <v>56</v>
      </c>
      <c r="AE279">
        <v>0</v>
      </c>
      <c r="AF279">
        <v>5</v>
      </c>
      <c r="AG279">
        <v>25</v>
      </c>
      <c r="AH279">
        <f>Table3[[#This Row],[Flies_per_Vial]]*Table3[[#This Row],[Vials_Total_UsedInMaze]]</f>
        <v>125</v>
      </c>
      <c r="AI279">
        <f>Table3[[#This Row],[total_Flies]]/Table3[[#This Row],[flies_in]]</f>
        <v>0.44800000000000001</v>
      </c>
      <c r="AJ279"/>
      <c r="AK279" s="31">
        <f t="shared" si="38"/>
        <v>9.1666666666666661</v>
      </c>
      <c r="AL279" s="31">
        <f t="shared" si="39"/>
        <v>13</v>
      </c>
      <c r="AM279" s="31">
        <f>Table3[[#This Row],[end_time_num]]-Table3[[#This Row],[start_time_num]]</f>
        <v>3.8333333333333339</v>
      </c>
      <c r="AN279" t="s">
        <v>148</v>
      </c>
    </row>
    <row r="280" spans="1:40" x14ac:dyDescent="0.35">
      <c r="A280">
        <v>15</v>
      </c>
      <c r="B280">
        <v>4</v>
      </c>
      <c r="C280" s="19" t="s">
        <v>154</v>
      </c>
      <c r="D280" t="s">
        <v>161</v>
      </c>
      <c r="E280" s="2">
        <v>0.38194444444444442</v>
      </c>
      <c r="F280" s="2">
        <v>0.54305555555555551</v>
      </c>
      <c r="G280" s="13">
        <v>0.16111111111111109</v>
      </c>
      <c r="H280" s="20" t="s">
        <v>136</v>
      </c>
      <c r="I280" t="s">
        <v>2</v>
      </c>
      <c r="J280">
        <v>3</v>
      </c>
      <c r="K280" s="19" t="s">
        <v>2</v>
      </c>
      <c r="L280" s="14" t="s">
        <v>0</v>
      </c>
      <c r="M280">
        <v>0</v>
      </c>
      <c r="N280">
        <v>2</v>
      </c>
      <c r="O280">
        <v>9</v>
      </c>
      <c r="P280">
        <v>2</v>
      </c>
      <c r="Q280">
        <v>1</v>
      </c>
      <c r="R280">
        <v>5</v>
      </c>
      <c r="S280">
        <v>5</v>
      </c>
      <c r="T280">
        <v>13</v>
      </c>
      <c r="U280">
        <v>12</v>
      </c>
      <c r="V280">
        <v>5</v>
      </c>
      <c r="W280">
        <v>9</v>
      </c>
      <c r="X280">
        <v>3</v>
      </c>
      <c r="Y280">
        <v>2</v>
      </c>
      <c r="Z280">
        <v>1</v>
      </c>
      <c r="AA280">
        <v>2</v>
      </c>
      <c r="AB280">
        <v>7</v>
      </c>
      <c r="AC280" s="18">
        <f>SUMPRODUCT(OG_Data!D$1:S$1, M280:AB280) /SUM(M280:AB280)</f>
        <v>8.8205128205128212</v>
      </c>
      <c r="AD280">
        <f t="shared" si="37"/>
        <v>78</v>
      </c>
      <c r="AE280">
        <v>0</v>
      </c>
      <c r="AF280">
        <v>6</v>
      </c>
      <c r="AG280">
        <v>25</v>
      </c>
      <c r="AH280">
        <f>Table3[[#This Row],[Flies_per_Vial]]*Table3[[#This Row],[Vials_Total_UsedInMaze]]</f>
        <v>150</v>
      </c>
      <c r="AI280">
        <f>Table3[[#This Row],[total_Flies]]/Table3[[#This Row],[flies_in]]</f>
        <v>0.52</v>
      </c>
      <c r="AJ280"/>
      <c r="AK280" s="31">
        <f t="shared" si="38"/>
        <v>9.1666666666666661</v>
      </c>
      <c r="AL280" s="31">
        <f t="shared" si="39"/>
        <v>13.033333333333331</v>
      </c>
      <c r="AM280" s="31">
        <f>Table3[[#This Row],[end_time_num]]-Table3[[#This Row],[start_time_num]]</f>
        <v>3.8666666666666654</v>
      </c>
      <c r="AN280" t="s">
        <v>148</v>
      </c>
    </row>
    <row r="281" spans="1:40" x14ac:dyDescent="0.35">
      <c r="A281">
        <v>15</v>
      </c>
      <c r="B281">
        <v>4</v>
      </c>
      <c r="C281" s="19" t="s">
        <v>154</v>
      </c>
      <c r="D281" t="s">
        <v>161</v>
      </c>
      <c r="E281" s="2">
        <v>0.38194444444444442</v>
      </c>
      <c r="F281" s="2">
        <v>0.5444444444444444</v>
      </c>
      <c r="G281" s="13">
        <v>0.16249999999999998</v>
      </c>
      <c r="H281" s="20" t="s">
        <v>136</v>
      </c>
      <c r="I281" t="s">
        <v>2</v>
      </c>
      <c r="J281">
        <v>3</v>
      </c>
      <c r="K281" s="19" t="s">
        <v>1</v>
      </c>
      <c r="L281" s="14" t="s">
        <v>3</v>
      </c>
      <c r="M281">
        <v>1</v>
      </c>
      <c r="N281">
        <v>4</v>
      </c>
      <c r="O281">
        <v>2</v>
      </c>
      <c r="P281">
        <v>2</v>
      </c>
      <c r="Q281">
        <v>2</v>
      </c>
      <c r="R281">
        <v>7</v>
      </c>
      <c r="S281">
        <v>4</v>
      </c>
      <c r="T281">
        <v>5</v>
      </c>
      <c r="U281">
        <v>3</v>
      </c>
      <c r="V281">
        <v>0</v>
      </c>
      <c r="W281">
        <v>7</v>
      </c>
      <c r="X281">
        <v>4</v>
      </c>
      <c r="Y281">
        <v>10</v>
      </c>
      <c r="Z281">
        <v>8</v>
      </c>
      <c r="AA281">
        <v>5</v>
      </c>
      <c r="AB281">
        <v>3</v>
      </c>
      <c r="AC281" s="18">
        <f>SUMPRODUCT(OG_Data!D$1:S$1, M281:AB281) /SUM(M281:AB281)</f>
        <v>9.8507462686567155</v>
      </c>
      <c r="AD281">
        <f t="shared" si="37"/>
        <v>67</v>
      </c>
      <c r="AE281">
        <v>0</v>
      </c>
      <c r="AF281">
        <v>6</v>
      </c>
      <c r="AG281">
        <v>25</v>
      </c>
      <c r="AH281">
        <f>Table3[[#This Row],[Flies_per_Vial]]*Table3[[#This Row],[Vials_Total_UsedInMaze]]</f>
        <v>150</v>
      </c>
      <c r="AI281">
        <f>Table3[[#This Row],[total_Flies]]/Table3[[#This Row],[flies_in]]</f>
        <v>0.44666666666666666</v>
      </c>
      <c r="AJ281"/>
      <c r="AK281" s="31">
        <f t="shared" si="38"/>
        <v>9.1666666666666661</v>
      </c>
      <c r="AL281" s="31">
        <f t="shared" si="39"/>
        <v>13.066666666666666</v>
      </c>
      <c r="AM281" s="31">
        <f>Table3[[#This Row],[end_time_num]]-Table3[[#This Row],[start_time_num]]</f>
        <v>3.9000000000000004</v>
      </c>
      <c r="AN281" t="s">
        <v>148</v>
      </c>
    </row>
    <row r="282" spans="1:40" x14ac:dyDescent="0.35">
      <c r="A282">
        <v>15</v>
      </c>
      <c r="B282">
        <v>4</v>
      </c>
      <c r="C282" s="19" t="s">
        <v>155</v>
      </c>
      <c r="D282" t="s">
        <v>161</v>
      </c>
      <c r="E282" s="2">
        <v>0.55902777777777779</v>
      </c>
      <c r="F282" s="2">
        <v>0.73958333333333337</v>
      </c>
      <c r="G282" s="13">
        <v>0.18055555555555558</v>
      </c>
      <c r="H282" s="20" t="s">
        <v>136</v>
      </c>
      <c r="I282" t="s">
        <v>2</v>
      </c>
      <c r="J282">
        <v>4</v>
      </c>
      <c r="K282" s="19" t="s">
        <v>5</v>
      </c>
      <c r="L282" s="14" t="s">
        <v>3</v>
      </c>
      <c r="M282">
        <v>2</v>
      </c>
      <c r="N282">
        <v>2</v>
      </c>
      <c r="O282">
        <v>3</v>
      </c>
      <c r="P282">
        <v>0</v>
      </c>
      <c r="Q282">
        <v>4</v>
      </c>
      <c r="R282">
        <v>6</v>
      </c>
      <c r="S282">
        <v>2</v>
      </c>
      <c r="T282">
        <v>2</v>
      </c>
      <c r="U282">
        <v>3</v>
      </c>
      <c r="V282">
        <v>5</v>
      </c>
      <c r="W282">
        <v>4</v>
      </c>
      <c r="X282">
        <v>0</v>
      </c>
      <c r="Y282">
        <v>5</v>
      </c>
      <c r="Z282">
        <v>9</v>
      </c>
      <c r="AA282">
        <v>57</v>
      </c>
      <c r="AB282">
        <v>24</v>
      </c>
      <c r="AC282" s="18">
        <f>SUMPRODUCT(OG_Data!D$1:S$1, M282:AB282) /SUM(M282:AB282)</f>
        <v>12.90625</v>
      </c>
      <c r="AD282">
        <f t="shared" si="37"/>
        <v>128</v>
      </c>
      <c r="AE282">
        <v>0</v>
      </c>
      <c r="AF282">
        <v>6</v>
      </c>
      <c r="AG282">
        <v>25</v>
      </c>
      <c r="AH282">
        <f>Table3[[#This Row],[Flies_per_Vial]]*Table3[[#This Row],[Vials_Total_UsedInMaze]]</f>
        <v>150</v>
      </c>
      <c r="AI282">
        <f>Table3[[#This Row],[total_Flies]]/Table3[[#This Row],[flies_in]]</f>
        <v>0.85333333333333339</v>
      </c>
      <c r="AJ282"/>
      <c r="AK282" s="31">
        <f t="shared" si="38"/>
        <v>13.416666666666668</v>
      </c>
      <c r="AL282" s="31">
        <f t="shared" si="39"/>
        <v>17.75</v>
      </c>
      <c r="AM282" s="31">
        <f>Table3[[#This Row],[end_time_num]]-Table3[[#This Row],[start_time_num]]</f>
        <v>4.3333333333333321</v>
      </c>
      <c r="AN282" t="s">
        <v>148</v>
      </c>
    </row>
    <row r="283" spans="1:40" x14ac:dyDescent="0.35">
      <c r="A283">
        <v>15</v>
      </c>
      <c r="B283">
        <v>4</v>
      </c>
      <c r="C283" s="19" t="s">
        <v>155</v>
      </c>
      <c r="D283" t="s">
        <v>161</v>
      </c>
      <c r="E283" s="2">
        <v>0.55902777777777779</v>
      </c>
      <c r="F283" s="2">
        <v>0.74097222222222225</v>
      </c>
      <c r="G283" s="13">
        <v>0.18194444444444446</v>
      </c>
      <c r="H283" s="20" t="s">
        <v>136</v>
      </c>
      <c r="I283" t="s">
        <v>2</v>
      </c>
      <c r="J283">
        <v>4</v>
      </c>
      <c r="K283" s="19" t="s">
        <v>4</v>
      </c>
      <c r="L283" s="14" t="s">
        <v>0</v>
      </c>
      <c r="M283">
        <v>11</v>
      </c>
      <c r="N283">
        <v>7</v>
      </c>
      <c r="O283">
        <v>9</v>
      </c>
      <c r="P283">
        <v>29</v>
      </c>
      <c r="Q283">
        <v>12</v>
      </c>
      <c r="R283">
        <v>21</v>
      </c>
      <c r="S283">
        <v>10</v>
      </c>
      <c r="T283">
        <v>11</v>
      </c>
      <c r="U283">
        <v>7</v>
      </c>
      <c r="V283">
        <v>6</v>
      </c>
      <c r="W283">
        <v>4</v>
      </c>
      <c r="X283">
        <v>4</v>
      </c>
      <c r="Y283">
        <v>5</v>
      </c>
      <c r="Z283">
        <v>5</v>
      </c>
      <c r="AA283">
        <v>3</v>
      </c>
      <c r="AB283">
        <v>0</v>
      </c>
      <c r="AC283" s="18">
        <f>SUMPRODUCT(OG_Data!D$1:S$1, M283:AB283) /SUM(M283:AB283)</f>
        <v>6.2986111111111107</v>
      </c>
      <c r="AD283">
        <f t="shared" si="37"/>
        <v>144</v>
      </c>
      <c r="AE283">
        <v>0</v>
      </c>
      <c r="AF283">
        <v>6</v>
      </c>
      <c r="AG283">
        <v>25</v>
      </c>
      <c r="AH283">
        <f>Table3[[#This Row],[Flies_per_Vial]]*Table3[[#This Row],[Vials_Total_UsedInMaze]]</f>
        <v>150</v>
      </c>
      <c r="AI283">
        <f>Table3[[#This Row],[total_Flies]]/Table3[[#This Row],[flies_in]]</f>
        <v>0.96</v>
      </c>
      <c r="AJ283"/>
      <c r="AK283" s="31">
        <f t="shared" si="38"/>
        <v>13.416666666666668</v>
      </c>
      <c r="AL283" s="31">
        <f t="shared" si="39"/>
        <v>17.783333333333335</v>
      </c>
      <c r="AM283" s="31">
        <f>Table3[[#This Row],[end_time_num]]-Table3[[#This Row],[start_time_num]]</f>
        <v>4.3666666666666671</v>
      </c>
      <c r="AN283" t="s">
        <v>148</v>
      </c>
    </row>
    <row r="284" spans="1:40" x14ac:dyDescent="0.35">
      <c r="A284">
        <v>15</v>
      </c>
      <c r="B284">
        <v>4</v>
      </c>
      <c r="C284" s="19" t="s">
        <v>155</v>
      </c>
      <c r="D284" t="s">
        <v>161</v>
      </c>
      <c r="E284" s="2">
        <v>0.55902777777777779</v>
      </c>
      <c r="F284" s="2">
        <v>0.74305555555555558</v>
      </c>
      <c r="G284" s="13">
        <v>0.18402777777777779</v>
      </c>
      <c r="H284" s="20" t="s">
        <v>136</v>
      </c>
      <c r="I284" t="s">
        <v>2</v>
      </c>
      <c r="J284">
        <v>4</v>
      </c>
      <c r="K284" s="19" t="s">
        <v>2</v>
      </c>
      <c r="L284" s="14" t="s">
        <v>0</v>
      </c>
      <c r="M284">
        <v>12</v>
      </c>
      <c r="N284">
        <v>11</v>
      </c>
      <c r="O284">
        <v>16</v>
      </c>
      <c r="P284">
        <v>4</v>
      </c>
      <c r="Q284">
        <v>7</v>
      </c>
      <c r="R284">
        <v>6</v>
      </c>
      <c r="S284">
        <v>8</v>
      </c>
      <c r="T284">
        <v>13</v>
      </c>
      <c r="U284">
        <v>2</v>
      </c>
      <c r="V284">
        <v>4</v>
      </c>
      <c r="W284">
        <v>2</v>
      </c>
      <c r="X284">
        <v>16</v>
      </c>
      <c r="Y284">
        <v>5</v>
      </c>
      <c r="Z284">
        <v>1</v>
      </c>
      <c r="AA284">
        <v>0</v>
      </c>
      <c r="AB284">
        <v>2</v>
      </c>
      <c r="AC284" s="18">
        <f>SUMPRODUCT(OG_Data!D$1:S$1, M284:AB284) /SUM(M284:AB284)</f>
        <v>6.5321100917431192</v>
      </c>
      <c r="AD284">
        <f t="shared" si="37"/>
        <v>109</v>
      </c>
      <c r="AE284">
        <v>0</v>
      </c>
      <c r="AF284">
        <v>4</v>
      </c>
      <c r="AG284">
        <v>25</v>
      </c>
      <c r="AH284">
        <f>Table3[[#This Row],[Flies_per_Vial]]*Table3[[#This Row],[Vials_Total_UsedInMaze]]</f>
        <v>100</v>
      </c>
      <c r="AI284">
        <f>Table3[[#This Row],[total_Flies]]/Table3[[#This Row],[flies_in]]</f>
        <v>1.0900000000000001</v>
      </c>
      <c r="AJ284"/>
      <c r="AK284" s="31">
        <f t="shared" si="38"/>
        <v>13.416666666666668</v>
      </c>
      <c r="AL284" s="31">
        <f t="shared" si="39"/>
        <v>17.833333333333336</v>
      </c>
      <c r="AM284" s="31">
        <f>Table3[[#This Row],[end_time_num]]-Table3[[#This Row],[start_time_num]]</f>
        <v>4.4166666666666679</v>
      </c>
      <c r="AN284" t="s">
        <v>148</v>
      </c>
    </row>
    <row r="285" spans="1:40" x14ac:dyDescent="0.35">
      <c r="A285">
        <v>15</v>
      </c>
      <c r="B285">
        <v>4</v>
      </c>
      <c r="C285" s="19" t="s">
        <v>155</v>
      </c>
      <c r="D285" t="s">
        <v>161</v>
      </c>
      <c r="E285" s="2">
        <v>0.55902777777777779</v>
      </c>
      <c r="F285" s="2">
        <v>0.74444444444444446</v>
      </c>
      <c r="G285" s="13">
        <v>0.18541666666666667</v>
      </c>
      <c r="H285" s="20" t="s">
        <v>136</v>
      </c>
      <c r="I285" t="s">
        <v>2</v>
      </c>
      <c r="J285">
        <v>4</v>
      </c>
      <c r="K285" s="19" t="s">
        <v>1</v>
      </c>
      <c r="L285" s="14" t="s">
        <v>3</v>
      </c>
      <c r="M285">
        <v>1</v>
      </c>
      <c r="N285">
        <v>6</v>
      </c>
      <c r="O285">
        <v>6</v>
      </c>
      <c r="P285">
        <v>8</v>
      </c>
      <c r="Q285">
        <v>3</v>
      </c>
      <c r="R285">
        <v>10</v>
      </c>
      <c r="S285">
        <v>3</v>
      </c>
      <c r="T285">
        <v>21</v>
      </c>
      <c r="U285">
        <v>7</v>
      </c>
      <c r="V285">
        <v>1</v>
      </c>
      <c r="W285">
        <v>2</v>
      </c>
      <c r="X285">
        <v>5</v>
      </c>
      <c r="Y285">
        <v>10</v>
      </c>
      <c r="Z285">
        <v>3</v>
      </c>
      <c r="AA285">
        <v>3</v>
      </c>
      <c r="AB285">
        <v>1</v>
      </c>
      <c r="AC285" s="18">
        <f>SUMPRODUCT(OG_Data!D$1:S$1, M285:AB285) /SUM(M285:AB285)</f>
        <v>7.9444444444444446</v>
      </c>
      <c r="AD285">
        <f t="shared" si="37"/>
        <v>90</v>
      </c>
      <c r="AE285">
        <v>0</v>
      </c>
      <c r="AF285">
        <v>6</v>
      </c>
      <c r="AG285">
        <v>25</v>
      </c>
      <c r="AH285">
        <f>Table3[[#This Row],[Flies_per_Vial]]*Table3[[#This Row],[Vials_Total_UsedInMaze]]</f>
        <v>150</v>
      </c>
      <c r="AI285">
        <f>Table3[[#This Row],[total_Flies]]/Table3[[#This Row],[flies_in]]</f>
        <v>0.6</v>
      </c>
      <c r="AJ285"/>
      <c r="AK285" s="31">
        <f t="shared" si="38"/>
        <v>13.416666666666668</v>
      </c>
      <c r="AL285" s="31">
        <f t="shared" si="39"/>
        <v>17.866666666666667</v>
      </c>
      <c r="AM285" s="31">
        <f>Table3[[#This Row],[end_time_num]]-Table3[[#This Row],[start_time_num]]</f>
        <v>4.4499999999999993</v>
      </c>
      <c r="AN285" t="s">
        <v>148</v>
      </c>
    </row>
    <row r="286" spans="1:40" x14ac:dyDescent="0.35">
      <c r="A286">
        <v>16</v>
      </c>
      <c r="B286" s="19">
        <v>1</v>
      </c>
      <c r="C286" s="19" t="s">
        <v>154</v>
      </c>
      <c r="D286" t="s">
        <v>162</v>
      </c>
      <c r="E286" s="2">
        <v>0.3888888888888889</v>
      </c>
      <c r="F286" s="2">
        <v>0.52430555555555558</v>
      </c>
      <c r="G286" s="13">
        <v>0.13541666666666669</v>
      </c>
      <c r="H286" s="20" t="s">
        <v>136</v>
      </c>
      <c r="I286" s="19" t="s">
        <v>6</v>
      </c>
      <c r="J286" s="19">
        <v>1</v>
      </c>
      <c r="K286" s="19" t="s">
        <v>5</v>
      </c>
      <c r="L286" s="14" t="s">
        <v>0</v>
      </c>
      <c r="M286">
        <v>4</v>
      </c>
      <c r="N286">
        <v>5</v>
      </c>
      <c r="O286">
        <v>6</v>
      </c>
      <c r="P286">
        <v>4</v>
      </c>
      <c r="Q286">
        <v>7</v>
      </c>
      <c r="R286">
        <v>2</v>
      </c>
      <c r="S286">
        <v>2</v>
      </c>
      <c r="T286">
        <v>0</v>
      </c>
      <c r="U286">
        <v>3</v>
      </c>
      <c r="V286">
        <v>0</v>
      </c>
      <c r="W286">
        <v>3</v>
      </c>
      <c r="X286">
        <v>0</v>
      </c>
      <c r="Y286">
        <v>3</v>
      </c>
      <c r="Z286">
        <v>1</v>
      </c>
      <c r="AA286">
        <v>12</v>
      </c>
      <c r="AB286">
        <v>6</v>
      </c>
      <c r="AC286" s="18">
        <f>SUMPRODUCT(OG_Data!D$1:S$1, M286:AB286) /SUM(M286:AB286)</f>
        <v>8.5862068965517242</v>
      </c>
      <c r="AD286">
        <f t="shared" ref="AD286:AD301" si="40">SUM(M286:AB286)</f>
        <v>58</v>
      </c>
      <c r="AE286">
        <v>0</v>
      </c>
      <c r="AF286">
        <v>5</v>
      </c>
      <c r="AG286">
        <v>25</v>
      </c>
      <c r="AH286">
        <f>Table3[[#This Row],[Flies_per_Vial]]*Table3[[#This Row],[Vials_Total_UsedInMaze]]</f>
        <v>125</v>
      </c>
      <c r="AI286">
        <f>Table3[[#This Row],[total_Flies]]/Table3[[#This Row],[flies_in]]</f>
        <v>0.46400000000000002</v>
      </c>
      <c r="AJ286"/>
      <c r="AK286" s="31">
        <f t="shared" ref="AK286:AK301" si="41">24*E286</f>
        <v>9.3333333333333339</v>
      </c>
      <c r="AL286" s="31">
        <f t="shared" ref="AL286:AL301" si="42">24*F286</f>
        <v>12.583333333333334</v>
      </c>
      <c r="AM286" s="31">
        <f>Table3[[#This Row],[end_time_num]]-Table3[[#This Row],[start_time_num]]</f>
        <v>3.25</v>
      </c>
      <c r="AN286" s="19" t="s">
        <v>147</v>
      </c>
    </row>
    <row r="287" spans="1:40" x14ac:dyDescent="0.35">
      <c r="A287">
        <v>16</v>
      </c>
      <c r="B287" s="19">
        <v>1</v>
      </c>
      <c r="C287" s="19" t="s">
        <v>154</v>
      </c>
      <c r="D287" t="s">
        <v>162</v>
      </c>
      <c r="E287" s="2">
        <v>0.3888888888888889</v>
      </c>
      <c r="F287" s="2">
        <v>0.52986111111111112</v>
      </c>
      <c r="G287" s="13">
        <v>0.14097222222222222</v>
      </c>
      <c r="H287" s="20" t="s">
        <v>136</v>
      </c>
      <c r="I287" s="19" t="s">
        <v>6</v>
      </c>
      <c r="J287" s="19">
        <v>1</v>
      </c>
      <c r="K287" s="19" t="s">
        <v>4</v>
      </c>
      <c r="L287" s="14" t="s">
        <v>3</v>
      </c>
      <c r="M287">
        <v>2</v>
      </c>
      <c r="N287">
        <v>2</v>
      </c>
      <c r="O287">
        <v>3</v>
      </c>
      <c r="P287">
        <v>2</v>
      </c>
      <c r="Q287">
        <v>2</v>
      </c>
      <c r="R287">
        <v>1</v>
      </c>
      <c r="S287">
        <v>5</v>
      </c>
      <c r="T287">
        <v>7</v>
      </c>
      <c r="U287">
        <v>14</v>
      </c>
      <c r="V287">
        <v>10</v>
      </c>
      <c r="W287">
        <v>13</v>
      </c>
      <c r="X287">
        <v>7</v>
      </c>
      <c r="Y287">
        <v>10</v>
      </c>
      <c r="Z287">
        <v>2</v>
      </c>
      <c r="AA287">
        <v>2</v>
      </c>
      <c r="AB287">
        <v>3</v>
      </c>
      <c r="AC287" s="18">
        <f>SUMPRODUCT(OG_Data!D$1:S$1, M287:AB287) /SUM(M287:AB287)</f>
        <v>9.6352941176470583</v>
      </c>
      <c r="AD287">
        <f t="shared" si="40"/>
        <v>85</v>
      </c>
      <c r="AE287">
        <v>0</v>
      </c>
      <c r="AF287">
        <v>6</v>
      </c>
      <c r="AG287">
        <v>25</v>
      </c>
      <c r="AH287">
        <f>Table3[[#This Row],[Flies_per_Vial]]*Table3[[#This Row],[Vials_Total_UsedInMaze]]</f>
        <v>150</v>
      </c>
      <c r="AI287">
        <f>Table3[[#This Row],[total_Flies]]/Table3[[#This Row],[flies_in]]</f>
        <v>0.56666666666666665</v>
      </c>
      <c r="AJ287"/>
      <c r="AK287" s="31">
        <f t="shared" si="41"/>
        <v>9.3333333333333339</v>
      </c>
      <c r="AL287" s="31">
        <f t="shared" si="42"/>
        <v>12.716666666666667</v>
      </c>
      <c r="AM287" s="31">
        <f>Table3[[#This Row],[end_time_num]]-Table3[[#This Row],[start_time_num]]</f>
        <v>3.3833333333333329</v>
      </c>
      <c r="AN287" s="19" t="s">
        <v>147</v>
      </c>
    </row>
    <row r="288" spans="1:40" x14ac:dyDescent="0.35">
      <c r="A288">
        <v>16</v>
      </c>
      <c r="B288" s="19">
        <v>1</v>
      </c>
      <c r="C288" s="19" t="s">
        <v>154</v>
      </c>
      <c r="D288" t="s">
        <v>162</v>
      </c>
      <c r="E288" s="2">
        <v>0.3888888888888889</v>
      </c>
      <c r="F288" s="2">
        <v>0.53263888888888888</v>
      </c>
      <c r="G288" s="13">
        <v>0.14374999999999999</v>
      </c>
      <c r="H288" s="20" t="s">
        <v>136</v>
      </c>
      <c r="I288" s="19" t="s">
        <v>6</v>
      </c>
      <c r="J288" s="19">
        <v>1</v>
      </c>
      <c r="K288" s="19" t="s">
        <v>2</v>
      </c>
      <c r="L288" s="14" t="s">
        <v>3</v>
      </c>
      <c r="M288">
        <v>19</v>
      </c>
      <c r="N288">
        <v>13</v>
      </c>
      <c r="O288">
        <v>13</v>
      </c>
      <c r="P288">
        <v>2</v>
      </c>
      <c r="Q288">
        <v>9</v>
      </c>
      <c r="R288">
        <v>9</v>
      </c>
      <c r="S288">
        <v>4</v>
      </c>
      <c r="T288">
        <v>6</v>
      </c>
      <c r="U288">
        <v>17</v>
      </c>
      <c r="V288">
        <v>5</v>
      </c>
      <c r="W288">
        <v>3</v>
      </c>
      <c r="X288">
        <v>2</v>
      </c>
      <c r="Y288">
        <v>0</v>
      </c>
      <c r="Z288">
        <v>1</v>
      </c>
      <c r="AA288">
        <v>1</v>
      </c>
      <c r="AB288">
        <v>3</v>
      </c>
      <c r="AC288" s="18">
        <f>SUMPRODUCT(OG_Data!D$1:S$1, M288:AB288) /SUM(M288:AB288)</f>
        <v>5.6448598130841123</v>
      </c>
      <c r="AD288">
        <f t="shared" si="40"/>
        <v>107</v>
      </c>
      <c r="AE288">
        <v>0</v>
      </c>
      <c r="AF288">
        <v>6</v>
      </c>
      <c r="AG288">
        <v>25</v>
      </c>
      <c r="AH288">
        <f>Table3[[#This Row],[Flies_per_Vial]]*Table3[[#This Row],[Vials_Total_UsedInMaze]]</f>
        <v>150</v>
      </c>
      <c r="AI288">
        <f>Table3[[#This Row],[total_Flies]]/Table3[[#This Row],[flies_in]]</f>
        <v>0.71333333333333337</v>
      </c>
      <c r="AJ288"/>
      <c r="AK288" s="31">
        <f t="shared" si="41"/>
        <v>9.3333333333333339</v>
      </c>
      <c r="AL288" s="31">
        <f t="shared" si="42"/>
        <v>12.783333333333333</v>
      </c>
      <c r="AM288" s="31">
        <f>Table3[[#This Row],[end_time_num]]-Table3[[#This Row],[start_time_num]]</f>
        <v>3.4499999999999993</v>
      </c>
      <c r="AN288" s="19" t="s">
        <v>147</v>
      </c>
    </row>
    <row r="289" spans="1:40" x14ac:dyDescent="0.35">
      <c r="A289">
        <v>16</v>
      </c>
      <c r="B289" s="19">
        <v>1</v>
      </c>
      <c r="C289" s="19" t="s">
        <v>154</v>
      </c>
      <c r="D289" t="s">
        <v>162</v>
      </c>
      <c r="E289" s="2">
        <v>0.3888888888888889</v>
      </c>
      <c r="F289" s="2">
        <v>0.53680555555555554</v>
      </c>
      <c r="G289" s="13">
        <v>0.14791666666666664</v>
      </c>
      <c r="H289" s="20" t="s">
        <v>136</v>
      </c>
      <c r="I289" s="19" t="s">
        <v>6</v>
      </c>
      <c r="J289" s="19">
        <v>1</v>
      </c>
      <c r="K289" s="19" t="s">
        <v>1</v>
      </c>
      <c r="L289" s="14" t="s">
        <v>0</v>
      </c>
      <c r="M289">
        <v>17</v>
      </c>
      <c r="N289">
        <v>19</v>
      </c>
      <c r="O289">
        <v>11</v>
      </c>
      <c r="P289">
        <v>8</v>
      </c>
      <c r="Q289">
        <v>13</v>
      </c>
      <c r="R289">
        <v>10</v>
      </c>
      <c r="S289">
        <v>4</v>
      </c>
      <c r="T289">
        <v>12</v>
      </c>
      <c r="U289">
        <v>10</v>
      </c>
      <c r="V289">
        <v>0</v>
      </c>
      <c r="W289">
        <v>2</v>
      </c>
      <c r="X289">
        <v>1</v>
      </c>
      <c r="Y289">
        <v>1</v>
      </c>
      <c r="Z289">
        <v>1</v>
      </c>
      <c r="AA289">
        <v>0</v>
      </c>
      <c r="AB289">
        <v>0</v>
      </c>
      <c r="AC289" s="18">
        <f>SUMPRODUCT(OG_Data!D$1:S$1, M289:AB289) /SUM(M289:AB289)</f>
        <v>4.7706422018348622</v>
      </c>
      <c r="AD289">
        <f t="shared" si="40"/>
        <v>109</v>
      </c>
      <c r="AE289">
        <v>0</v>
      </c>
      <c r="AF289">
        <v>6</v>
      </c>
      <c r="AG289">
        <v>25</v>
      </c>
      <c r="AH289">
        <f>Table3[[#This Row],[Flies_per_Vial]]*Table3[[#This Row],[Vials_Total_UsedInMaze]]</f>
        <v>150</v>
      </c>
      <c r="AI289">
        <f>Table3[[#This Row],[total_Flies]]/Table3[[#This Row],[flies_in]]</f>
        <v>0.72666666666666668</v>
      </c>
      <c r="AJ289"/>
      <c r="AK289" s="31">
        <f t="shared" si="41"/>
        <v>9.3333333333333339</v>
      </c>
      <c r="AL289" s="31">
        <f t="shared" si="42"/>
        <v>12.883333333333333</v>
      </c>
      <c r="AM289" s="31">
        <f>Table3[[#This Row],[end_time_num]]-Table3[[#This Row],[start_time_num]]</f>
        <v>3.5499999999999989</v>
      </c>
      <c r="AN289" s="19" t="s">
        <v>147</v>
      </c>
    </row>
    <row r="290" spans="1:40" x14ac:dyDescent="0.35">
      <c r="A290">
        <v>16</v>
      </c>
      <c r="B290" s="19">
        <v>1</v>
      </c>
      <c r="C290" s="19" t="s">
        <v>155</v>
      </c>
      <c r="D290" t="s">
        <v>162</v>
      </c>
      <c r="E290" s="2">
        <v>0.5625</v>
      </c>
      <c r="F290" s="2">
        <v>0.69236111111111109</v>
      </c>
      <c r="G290" s="13">
        <v>0.12986111111111109</v>
      </c>
      <c r="H290" s="20" t="s">
        <v>142</v>
      </c>
      <c r="I290" s="19" t="s">
        <v>6</v>
      </c>
      <c r="J290" s="19">
        <v>2</v>
      </c>
      <c r="K290" s="19" t="s">
        <v>5</v>
      </c>
      <c r="L290" s="14" t="s">
        <v>0</v>
      </c>
      <c r="M290">
        <v>18</v>
      </c>
      <c r="N290">
        <v>19</v>
      </c>
      <c r="O290">
        <v>14</v>
      </c>
      <c r="P290">
        <v>9</v>
      </c>
      <c r="Q290">
        <v>15</v>
      </c>
      <c r="R290">
        <v>6</v>
      </c>
      <c r="S290">
        <v>2</v>
      </c>
      <c r="T290">
        <v>5</v>
      </c>
      <c r="U290">
        <v>3</v>
      </c>
      <c r="V290">
        <v>2</v>
      </c>
      <c r="W290">
        <v>4</v>
      </c>
      <c r="X290">
        <v>1</v>
      </c>
      <c r="Y290">
        <v>3</v>
      </c>
      <c r="Z290">
        <v>1</v>
      </c>
      <c r="AA290">
        <v>13</v>
      </c>
      <c r="AB290">
        <v>0</v>
      </c>
      <c r="AC290" s="18">
        <f>SUMPRODUCT(OG_Data!D$1:S$1, M290:AB290) /SUM(M290:AB290)</f>
        <v>5.6521739130434785</v>
      </c>
      <c r="AD290">
        <f t="shared" si="40"/>
        <v>115</v>
      </c>
      <c r="AE290">
        <v>0</v>
      </c>
      <c r="AF290">
        <v>5</v>
      </c>
      <c r="AG290">
        <v>25</v>
      </c>
      <c r="AH290">
        <f>Table3[[#This Row],[Flies_per_Vial]]*Table3[[#This Row],[Vials_Total_UsedInMaze]]</f>
        <v>125</v>
      </c>
      <c r="AI290">
        <f>Table3[[#This Row],[total_Flies]]/Table3[[#This Row],[flies_in]]</f>
        <v>0.92</v>
      </c>
      <c r="AJ290"/>
      <c r="AK290" s="31">
        <f t="shared" si="41"/>
        <v>13.5</v>
      </c>
      <c r="AL290" s="31">
        <f t="shared" si="42"/>
        <v>16.616666666666667</v>
      </c>
      <c r="AM290" s="31">
        <f>Table3[[#This Row],[end_time_num]]-Table3[[#This Row],[start_time_num]]</f>
        <v>3.1166666666666671</v>
      </c>
      <c r="AN290" s="19" t="s">
        <v>147</v>
      </c>
    </row>
    <row r="291" spans="1:40" x14ac:dyDescent="0.35">
      <c r="A291">
        <v>16</v>
      </c>
      <c r="B291" s="19">
        <v>1</v>
      </c>
      <c r="C291" s="19" t="s">
        <v>155</v>
      </c>
      <c r="D291" t="s">
        <v>162</v>
      </c>
      <c r="E291" s="2">
        <v>0.5625</v>
      </c>
      <c r="F291" s="2">
        <v>0.69444444444444442</v>
      </c>
      <c r="G291" s="13">
        <v>0.13194444444444442</v>
      </c>
      <c r="H291" s="20" t="s">
        <v>142</v>
      </c>
      <c r="I291" s="19" t="s">
        <v>6</v>
      </c>
      <c r="J291" s="19">
        <v>2</v>
      </c>
      <c r="K291" s="19" t="s">
        <v>4</v>
      </c>
      <c r="L291" s="14" t="s">
        <v>3</v>
      </c>
      <c r="M291">
        <v>14</v>
      </c>
      <c r="N291">
        <v>15</v>
      </c>
      <c r="O291">
        <v>7</v>
      </c>
      <c r="P291">
        <v>8</v>
      </c>
      <c r="Q291">
        <v>4</v>
      </c>
      <c r="R291">
        <v>4</v>
      </c>
      <c r="S291">
        <v>10</v>
      </c>
      <c r="T291">
        <v>7</v>
      </c>
      <c r="U291">
        <v>3</v>
      </c>
      <c r="V291">
        <v>4</v>
      </c>
      <c r="W291">
        <v>2</v>
      </c>
      <c r="X291">
        <v>2</v>
      </c>
      <c r="Y291">
        <v>2</v>
      </c>
      <c r="Z291">
        <v>3</v>
      </c>
      <c r="AA291">
        <v>2</v>
      </c>
      <c r="AB291">
        <v>0</v>
      </c>
      <c r="AC291" s="18">
        <f>SUMPRODUCT(OG_Data!D$1:S$1, M291:AB291) /SUM(M291:AB291)</f>
        <v>5.4942528735632186</v>
      </c>
      <c r="AD291">
        <f t="shared" si="40"/>
        <v>87</v>
      </c>
      <c r="AE291">
        <v>0</v>
      </c>
      <c r="AF291">
        <v>5</v>
      </c>
      <c r="AG291">
        <v>25</v>
      </c>
      <c r="AH291">
        <f>Table3[[#This Row],[Flies_per_Vial]]*Table3[[#This Row],[Vials_Total_UsedInMaze]]</f>
        <v>125</v>
      </c>
      <c r="AI291">
        <f>Table3[[#This Row],[total_Flies]]/Table3[[#This Row],[flies_in]]</f>
        <v>0.69599999999999995</v>
      </c>
      <c r="AJ291"/>
      <c r="AK291" s="31">
        <f t="shared" si="41"/>
        <v>13.5</v>
      </c>
      <c r="AL291" s="31">
        <f t="shared" si="42"/>
        <v>16.666666666666664</v>
      </c>
      <c r="AM291" s="31">
        <f>Table3[[#This Row],[end_time_num]]-Table3[[#This Row],[start_time_num]]</f>
        <v>3.1666666666666643</v>
      </c>
      <c r="AN291" s="19" t="s">
        <v>147</v>
      </c>
    </row>
    <row r="292" spans="1:40" x14ac:dyDescent="0.35">
      <c r="A292">
        <v>16</v>
      </c>
      <c r="B292" s="19">
        <v>1</v>
      </c>
      <c r="C292" s="19" t="s">
        <v>155</v>
      </c>
      <c r="D292" t="s">
        <v>162</v>
      </c>
      <c r="E292" s="2">
        <v>0.5625</v>
      </c>
      <c r="F292" s="2">
        <v>0.69722222222222219</v>
      </c>
      <c r="G292" s="13">
        <v>0.13472222222222219</v>
      </c>
      <c r="H292" s="20" t="s">
        <v>142</v>
      </c>
      <c r="I292" s="19" t="s">
        <v>6</v>
      </c>
      <c r="J292" s="19">
        <v>2</v>
      </c>
      <c r="K292" s="19" t="s">
        <v>2</v>
      </c>
      <c r="L292" s="14" t="s">
        <v>3</v>
      </c>
      <c r="M292">
        <v>15</v>
      </c>
      <c r="N292">
        <v>27</v>
      </c>
      <c r="O292">
        <v>27</v>
      </c>
      <c r="P292">
        <v>3</v>
      </c>
      <c r="Q292">
        <v>9</v>
      </c>
      <c r="R292">
        <v>13</v>
      </c>
      <c r="S292">
        <v>3</v>
      </c>
      <c r="T292">
        <v>2</v>
      </c>
      <c r="U292">
        <v>11</v>
      </c>
      <c r="V292">
        <v>3</v>
      </c>
      <c r="W292">
        <v>3</v>
      </c>
      <c r="X292">
        <v>1</v>
      </c>
      <c r="Y292">
        <v>2</v>
      </c>
      <c r="Z292">
        <v>0</v>
      </c>
      <c r="AA292">
        <v>0</v>
      </c>
      <c r="AB292">
        <v>0</v>
      </c>
      <c r="AC292" s="18">
        <f>SUMPRODUCT(OG_Data!D$1:S$1, M292:AB292) /SUM(M292:AB292)</f>
        <v>4.3865546218487399</v>
      </c>
      <c r="AD292">
        <f t="shared" si="40"/>
        <v>119</v>
      </c>
      <c r="AE292">
        <v>0</v>
      </c>
      <c r="AF292">
        <v>6</v>
      </c>
      <c r="AG292">
        <v>25</v>
      </c>
      <c r="AH292">
        <f>Table3[[#This Row],[Flies_per_Vial]]*Table3[[#This Row],[Vials_Total_UsedInMaze]]</f>
        <v>150</v>
      </c>
      <c r="AI292">
        <f>Table3[[#This Row],[total_Flies]]/Table3[[#This Row],[flies_in]]</f>
        <v>0.79333333333333333</v>
      </c>
      <c r="AJ292"/>
      <c r="AK292" s="31">
        <f t="shared" si="41"/>
        <v>13.5</v>
      </c>
      <c r="AL292" s="31">
        <f t="shared" si="42"/>
        <v>16.733333333333334</v>
      </c>
      <c r="AM292" s="31">
        <f>Table3[[#This Row],[end_time_num]]-Table3[[#This Row],[start_time_num]]</f>
        <v>3.2333333333333343</v>
      </c>
      <c r="AN292" s="19" t="s">
        <v>147</v>
      </c>
    </row>
    <row r="293" spans="1:40" x14ac:dyDescent="0.35">
      <c r="A293">
        <v>16</v>
      </c>
      <c r="B293" s="19">
        <v>1</v>
      </c>
      <c r="C293" s="19" t="s">
        <v>155</v>
      </c>
      <c r="D293" t="s">
        <v>162</v>
      </c>
      <c r="E293" s="2">
        <v>0.5625</v>
      </c>
      <c r="F293" s="2">
        <v>0.69930555555555551</v>
      </c>
      <c r="G293" s="13">
        <v>0.13680555555555551</v>
      </c>
      <c r="H293" s="20" t="s">
        <v>142</v>
      </c>
      <c r="I293" s="19" t="s">
        <v>6</v>
      </c>
      <c r="J293" s="19">
        <v>2</v>
      </c>
      <c r="K293" s="19" t="s">
        <v>1</v>
      </c>
      <c r="L293" s="14" t="s">
        <v>0</v>
      </c>
      <c r="M293">
        <v>12</v>
      </c>
      <c r="N293">
        <v>24</v>
      </c>
      <c r="O293">
        <v>17</v>
      </c>
      <c r="P293">
        <v>20</v>
      </c>
      <c r="Q293">
        <v>16</v>
      </c>
      <c r="R293">
        <v>19</v>
      </c>
      <c r="S293">
        <v>10</v>
      </c>
      <c r="T293">
        <v>6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s="18">
        <f>SUMPRODUCT(OG_Data!D$1:S$1, M293:AB293) /SUM(M293:AB293)</f>
        <v>4.1349206349206353</v>
      </c>
      <c r="AD293">
        <f t="shared" si="40"/>
        <v>126</v>
      </c>
      <c r="AE293">
        <v>0</v>
      </c>
      <c r="AF293">
        <v>6</v>
      </c>
      <c r="AG293">
        <v>25</v>
      </c>
      <c r="AH293">
        <f>Table3[[#This Row],[Flies_per_Vial]]*Table3[[#This Row],[Vials_Total_UsedInMaze]]</f>
        <v>150</v>
      </c>
      <c r="AI293">
        <f>Table3[[#This Row],[total_Flies]]/Table3[[#This Row],[flies_in]]</f>
        <v>0.84</v>
      </c>
      <c r="AJ293"/>
      <c r="AK293" s="31">
        <f t="shared" si="41"/>
        <v>13.5</v>
      </c>
      <c r="AL293" s="31">
        <f t="shared" si="42"/>
        <v>16.783333333333331</v>
      </c>
      <c r="AM293" s="31">
        <f>Table3[[#This Row],[end_time_num]]-Table3[[#This Row],[start_time_num]]</f>
        <v>3.2833333333333314</v>
      </c>
      <c r="AN293" s="19" t="s">
        <v>147</v>
      </c>
    </row>
    <row r="294" spans="1:40" x14ac:dyDescent="0.35">
      <c r="A294">
        <v>16</v>
      </c>
      <c r="B294" s="19">
        <v>2</v>
      </c>
      <c r="C294" s="19" t="s">
        <v>154</v>
      </c>
      <c r="D294" t="s">
        <v>163</v>
      </c>
      <c r="E294" s="2">
        <v>0.39930555555555558</v>
      </c>
      <c r="F294" s="2">
        <v>0.52222222222222225</v>
      </c>
      <c r="G294" s="13">
        <v>0.12291666666666667</v>
      </c>
      <c r="H294" s="20" t="s">
        <v>136</v>
      </c>
      <c r="I294" s="19" t="s">
        <v>6</v>
      </c>
      <c r="J294">
        <v>3</v>
      </c>
      <c r="K294" s="19" t="s">
        <v>5</v>
      </c>
      <c r="L294" s="14" t="s">
        <v>0</v>
      </c>
      <c r="M294">
        <v>2</v>
      </c>
      <c r="N294">
        <v>1</v>
      </c>
      <c r="O294">
        <v>2</v>
      </c>
      <c r="P294">
        <v>3</v>
      </c>
      <c r="Q294">
        <v>5</v>
      </c>
      <c r="R294">
        <v>5</v>
      </c>
      <c r="S294">
        <v>2</v>
      </c>
      <c r="T294">
        <v>3</v>
      </c>
      <c r="U294">
        <v>0</v>
      </c>
      <c r="V294">
        <v>3</v>
      </c>
      <c r="W294">
        <v>5</v>
      </c>
      <c r="X294">
        <v>5</v>
      </c>
      <c r="Y294">
        <v>4</v>
      </c>
      <c r="Z294">
        <v>2</v>
      </c>
      <c r="AA294">
        <v>18</v>
      </c>
      <c r="AB294">
        <v>3</v>
      </c>
      <c r="AC294" s="18">
        <f>SUMPRODUCT(OG_Data!D$1:S$1, M294:AB294) /SUM(M294:AB294)</f>
        <v>10.444444444444445</v>
      </c>
      <c r="AD294">
        <f t="shared" si="40"/>
        <v>63</v>
      </c>
      <c r="AE294">
        <v>0</v>
      </c>
      <c r="AF294">
        <v>4</v>
      </c>
      <c r="AG294">
        <v>25</v>
      </c>
      <c r="AH294">
        <f>Table3[[#This Row],[Flies_per_Vial]]*Table3[[#This Row],[Vials_Total_UsedInMaze]]</f>
        <v>100</v>
      </c>
      <c r="AI294">
        <f>Table3[[#This Row],[total_Flies]]/Table3[[#This Row],[flies_in]]</f>
        <v>0.63</v>
      </c>
      <c r="AJ294"/>
      <c r="AK294" s="31">
        <f t="shared" si="41"/>
        <v>9.5833333333333339</v>
      </c>
      <c r="AL294" s="31">
        <f t="shared" si="42"/>
        <v>12.533333333333335</v>
      </c>
      <c r="AM294" s="31">
        <f>Table3[[#This Row],[end_time_num]]-Table3[[#This Row],[start_time_num]]</f>
        <v>2.9500000000000011</v>
      </c>
      <c r="AN294" s="19" t="s">
        <v>147</v>
      </c>
    </row>
    <row r="295" spans="1:40" x14ac:dyDescent="0.35">
      <c r="A295">
        <v>16</v>
      </c>
      <c r="B295" s="19">
        <v>2</v>
      </c>
      <c r="C295" s="19" t="s">
        <v>154</v>
      </c>
      <c r="D295" t="s">
        <v>163</v>
      </c>
      <c r="E295" s="2">
        <v>0.39930555555555558</v>
      </c>
      <c r="F295" s="2">
        <v>0.52430555555555558</v>
      </c>
      <c r="G295" s="13">
        <v>0.125</v>
      </c>
      <c r="H295" s="20" t="s">
        <v>136</v>
      </c>
      <c r="I295" s="19" t="s">
        <v>6</v>
      </c>
      <c r="J295">
        <v>3</v>
      </c>
      <c r="K295" s="19" t="s">
        <v>4</v>
      </c>
      <c r="L295" s="14" t="s">
        <v>3</v>
      </c>
      <c r="M295">
        <v>3</v>
      </c>
      <c r="N295">
        <v>3</v>
      </c>
      <c r="O295">
        <v>2</v>
      </c>
      <c r="P295">
        <v>3</v>
      </c>
      <c r="Q295">
        <v>2</v>
      </c>
      <c r="R295">
        <v>10</v>
      </c>
      <c r="S295">
        <v>10</v>
      </c>
      <c r="T295">
        <v>11</v>
      </c>
      <c r="U295">
        <v>10</v>
      </c>
      <c r="V295">
        <v>14</v>
      </c>
      <c r="W295">
        <v>14</v>
      </c>
      <c r="X295">
        <v>9</v>
      </c>
      <c r="Y295">
        <v>5</v>
      </c>
      <c r="Z295">
        <v>6</v>
      </c>
      <c r="AA295">
        <v>3</v>
      </c>
      <c r="AB295">
        <v>0</v>
      </c>
      <c r="AC295" s="18">
        <f>SUMPRODUCT(OG_Data!D$1:S$1, M295:AB295) /SUM(M295:AB295)</f>
        <v>8.961904761904762</v>
      </c>
      <c r="AD295">
        <f t="shared" si="40"/>
        <v>105</v>
      </c>
      <c r="AE295">
        <v>0</v>
      </c>
      <c r="AF295">
        <v>6</v>
      </c>
      <c r="AG295">
        <v>25</v>
      </c>
      <c r="AH295">
        <f>Table3[[#This Row],[Flies_per_Vial]]*Table3[[#This Row],[Vials_Total_UsedInMaze]]</f>
        <v>150</v>
      </c>
      <c r="AI295">
        <f>Table3[[#This Row],[total_Flies]]/Table3[[#This Row],[flies_in]]</f>
        <v>0.7</v>
      </c>
      <c r="AJ295"/>
      <c r="AK295" s="31">
        <f t="shared" si="41"/>
        <v>9.5833333333333339</v>
      </c>
      <c r="AL295" s="31">
        <f t="shared" si="42"/>
        <v>12.583333333333334</v>
      </c>
      <c r="AM295" s="31">
        <f>Table3[[#This Row],[end_time_num]]-Table3[[#This Row],[start_time_num]]</f>
        <v>3</v>
      </c>
      <c r="AN295" s="19" t="s">
        <v>147</v>
      </c>
    </row>
    <row r="296" spans="1:40" x14ac:dyDescent="0.35">
      <c r="A296">
        <v>16</v>
      </c>
      <c r="B296" s="19">
        <v>2</v>
      </c>
      <c r="C296" s="19" t="s">
        <v>154</v>
      </c>
      <c r="D296" t="s">
        <v>163</v>
      </c>
      <c r="E296" s="2">
        <v>0.39930555555555558</v>
      </c>
      <c r="F296" s="2">
        <v>0.52569444444444446</v>
      </c>
      <c r="G296" s="13">
        <v>0.12638888888888888</v>
      </c>
      <c r="H296" s="20" t="s">
        <v>136</v>
      </c>
      <c r="I296" s="19" t="s">
        <v>6</v>
      </c>
      <c r="J296">
        <v>3</v>
      </c>
      <c r="K296" s="19" t="s">
        <v>2</v>
      </c>
      <c r="L296" s="14" t="s">
        <v>3</v>
      </c>
      <c r="M296">
        <v>17</v>
      </c>
      <c r="N296">
        <v>17</v>
      </c>
      <c r="O296">
        <v>15</v>
      </c>
      <c r="P296">
        <v>4</v>
      </c>
      <c r="Q296">
        <v>4</v>
      </c>
      <c r="R296">
        <v>7</v>
      </c>
      <c r="S296">
        <v>2</v>
      </c>
      <c r="T296">
        <v>5</v>
      </c>
      <c r="U296">
        <v>20</v>
      </c>
      <c r="V296">
        <v>3</v>
      </c>
      <c r="W296">
        <v>2</v>
      </c>
      <c r="X296">
        <v>5</v>
      </c>
      <c r="Y296">
        <v>2</v>
      </c>
      <c r="Z296">
        <v>3</v>
      </c>
      <c r="AA296">
        <v>3</v>
      </c>
      <c r="AB296">
        <v>5</v>
      </c>
      <c r="AC296" s="18">
        <f>SUMPRODUCT(OG_Data!D$1:S$1, M296:AB296) /SUM(M296:AB296)</f>
        <v>6.2543859649122808</v>
      </c>
      <c r="AD296">
        <f t="shared" si="40"/>
        <v>114</v>
      </c>
      <c r="AE296">
        <v>0</v>
      </c>
      <c r="AF296">
        <v>6</v>
      </c>
      <c r="AG296">
        <v>25</v>
      </c>
      <c r="AH296">
        <f>Table3[[#This Row],[Flies_per_Vial]]*Table3[[#This Row],[Vials_Total_UsedInMaze]]</f>
        <v>150</v>
      </c>
      <c r="AI296">
        <f>Table3[[#This Row],[total_Flies]]/Table3[[#This Row],[flies_in]]</f>
        <v>0.76</v>
      </c>
      <c r="AJ296"/>
      <c r="AK296" s="31">
        <f t="shared" si="41"/>
        <v>9.5833333333333339</v>
      </c>
      <c r="AL296" s="31">
        <f t="shared" si="42"/>
        <v>12.616666666666667</v>
      </c>
      <c r="AM296" s="31">
        <f>Table3[[#This Row],[end_time_num]]-Table3[[#This Row],[start_time_num]]</f>
        <v>3.0333333333333332</v>
      </c>
      <c r="AN296" s="19" t="s">
        <v>147</v>
      </c>
    </row>
    <row r="297" spans="1:40" x14ac:dyDescent="0.35">
      <c r="A297">
        <v>16</v>
      </c>
      <c r="B297" s="19">
        <v>2</v>
      </c>
      <c r="C297" s="19" t="s">
        <v>154</v>
      </c>
      <c r="D297" t="s">
        <v>163</v>
      </c>
      <c r="E297" s="2">
        <v>0.39930555555555558</v>
      </c>
      <c r="F297" s="2">
        <v>0.52777777777777779</v>
      </c>
      <c r="G297" s="13">
        <v>0.12847222222222221</v>
      </c>
      <c r="H297" s="20" t="s">
        <v>136</v>
      </c>
      <c r="I297" s="19" t="s">
        <v>6</v>
      </c>
      <c r="J297">
        <v>3</v>
      </c>
      <c r="K297" s="19" t="s">
        <v>1</v>
      </c>
      <c r="L297" s="14" t="s">
        <v>0</v>
      </c>
      <c r="M297">
        <v>7</v>
      </c>
      <c r="N297">
        <v>7</v>
      </c>
      <c r="O297">
        <v>12</v>
      </c>
      <c r="P297">
        <v>15</v>
      </c>
      <c r="Q297">
        <v>14</v>
      </c>
      <c r="R297">
        <v>15</v>
      </c>
      <c r="S297">
        <v>2</v>
      </c>
      <c r="T297">
        <v>6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1</v>
      </c>
      <c r="AA297">
        <v>0</v>
      </c>
      <c r="AB297">
        <v>0</v>
      </c>
      <c r="AC297" s="18">
        <f>SUMPRODUCT(OG_Data!D$1:S$1, M297:AB297) /SUM(M297:AB297)</f>
        <v>4.7073170731707314</v>
      </c>
      <c r="AD297">
        <f t="shared" si="40"/>
        <v>82</v>
      </c>
      <c r="AE297">
        <v>0</v>
      </c>
      <c r="AF297">
        <v>5</v>
      </c>
      <c r="AG297">
        <v>25</v>
      </c>
      <c r="AH297">
        <f>Table3[[#This Row],[Flies_per_Vial]]*Table3[[#This Row],[Vials_Total_UsedInMaze]]</f>
        <v>125</v>
      </c>
      <c r="AI297">
        <f>Table3[[#This Row],[total_Flies]]/Table3[[#This Row],[flies_in]]</f>
        <v>0.65600000000000003</v>
      </c>
      <c r="AJ297"/>
      <c r="AK297" s="31">
        <f t="shared" si="41"/>
        <v>9.5833333333333339</v>
      </c>
      <c r="AL297" s="31">
        <f t="shared" si="42"/>
        <v>12.666666666666668</v>
      </c>
      <c r="AM297" s="31">
        <f>Table3[[#This Row],[end_time_num]]-Table3[[#This Row],[start_time_num]]</f>
        <v>3.0833333333333339</v>
      </c>
      <c r="AN297" s="19" t="s">
        <v>147</v>
      </c>
    </row>
    <row r="298" spans="1:40" x14ac:dyDescent="0.35">
      <c r="A298">
        <v>16</v>
      </c>
      <c r="B298" s="19">
        <v>2</v>
      </c>
      <c r="C298" s="19" t="s">
        <v>155</v>
      </c>
      <c r="D298" t="s">
        <v>163</v>
      </c>
      <c r="E298" s="2">
        <v>0.55208333333333337</v>
      </c>
      <c r="F298" s="2">
        <v>0.18819444444444444</v>
      </c>
      <c r="G298" s="13">
        <v>-0.36388888888888893</v>
      </c>
      <c r="H298" s="20" t="s">
        <v>142</v>
      </c>
      <c r="I298" s="19" t="s">
        <v>6</v>
      </c>
      <c r="J298">
        <v>4</v>
      </c>
      <c r="K298" s="19" t="s">
        <v>5</v>
      </c>
      <c r="L298" s="14" t="s">
        <v>0</v>
      </c>
      <c r="M298">
        <v>19</v>
      </c>
      <c r="N298">
        <v>10</v>
      </c>
      <c r="O298">
        <v>20</v>
      </c>
      <c r="P298">
        <v>5</v>
      </c>
      <c r="Q298">
        <v>11</v>
      </c>
      <c r="R298">
        <v>14</v>
      </c>
      <c r="S298">
        <v>4</v>
      </c>
      <c r="T298">
        <v>6</v>
      </c>
      <c r="U298">
        <v>4</v>
      </c>
      <c r="V298">
        <v>5</v>
      </c>
      <c r="W298">
        <v>8</v>
      </c>
      <c r="X298">
        <v>0</v>
      </c>
      <c r="Y298">
        <v>6</v>
      </c>
      <c r="Z298">
        <v>3</v>
      </c>
      <c r="AA298">
        <v>20</v>
      </c>
      <c r="AB298">
        <v>1</v>
      </c>
      <c r="AC298" s="18">
        <f>SUMPRODUCT(OG_Data!D$1:S$1, M298:AB298) /SUM(M298:AB298)</f>
        <v>6.9411764705882355</v>
      </c>
      <c r="AD298">
        <f t="shared" si="40"/>
        <v>136</v>
      </c>
      <c r="AE298">
        <v>0</v>
      </c>
      <c r="AF298">
        <v>6</v>
      </c>
      <c r="AG298">
        <v>25</v>
      </c>
      <c r="AH298">
        <f>Table3[[#This Row],[Flies_per_Vial]]*Table3[[#This Row],[Vials_Total_UsedInMaze]]</f>
        <v>150</v>
      </c>
      <c r="AI298">
        <f>Table3[[#This Row],[total_Flies]]/Table3[[#This Row],[flies_in]]</f>
        <v>0.90666666666666662</v>
      </c>
      <c r="AJ298"/>
      <c r="AK298" s="31">
        <f t="shared" si="41"/>
        <v>13.25</v>
      </c>
      <c r="AL298" s="31">
        <f t="shared" si="42"/>
        <v>4.5166666666666666</v>
      </c>
      <c r="AM298" s="31">
        <f>Table3[[#This Row],[end_time_num]]-Table3[[#This Row],[start_time_num]]</f>
        <v>-8.7333333333333343</v>
      </c>
      <c r="AN298" s="19" t="s">
        <v>147</v>
      </c>
    </row>
    <row r="299" spans="1:40" x14ac:dyDescent="0.35">
      <c r="A299">
        <v>16</v>
      </c>
      <c r="B299" s="19">
        <v>2</v>
      </c>
      <c r="C299" s="19" t="s">
        <v>155</v>
      </c>
      <c r="D299" t="s">
        <v>163</v>
      </c>
      <c r="E299" s="2">
        <v>0.55208333333333337</v>
      </c>
      <c r="F299" s="2">
        <v>0.19166666666666668</v>
      </c>
      <c r="G299" s="13">
        <v>-0.36041666666666672</v>
      </c>
      <c r="H299" s="20" t="s">
        <v>142</v>
      </c>
      <c r="I299" s="19" t="s">
        <v>6</v>
      </c>
      <c r="J299">
        <v>4</v>
      </c>
      <c r="K299" s="19" t="s">
        <v>4</v>
      </c>
      <c r="L299" s="14" t="s">
        <v>3</v>
      </c>
      <c r="M299">
        <v>9</v>
      </c>
      <c r="N299">
        <v>5</v>
      </c>
      <c r="O299">
        <v>6</v>
      </c>
      <c r="P299">
        <v>11</v>
      </c>
      <c r="Q299">
        <v>6</v>
      </c>
      <c r="R299">
        <v>8</v>
      </c>
      <c r="S299">
        <v>8</v>
      </c>
      <c r="T299">
        <v>8</v>
      </c>
      <c r="U299">
        <v>3</v>
      </c>
      <c r="V299">
        <v>0</v>
      </c>
      <c r="W299">
        <v>0</v>
      </c>
      <c r="X299">
        <v>1</v>
      </c>
      <c r="Y299">
        <v>2</v>
      </c>
      <c r="Z299">
        <v>1</v>
      </c>
      <c r="AA299">
        <v>1</v>
      </c>
      <c r="AB299">
        <v>0</v>
      </c>
      <c r="AC299" s="18">
        <f>SUMPRODUCT(OG_Data!D$1:S$1, M299:AB299) /SUM(M299:AB299)</f>
        <v>5.4057971014492754</v>
      </c>
      <c r="AD299">
        <f t="shared" si="40"/>
        <v>69</v>
      </c>
      <c r="AE299">
        <v>0</v>
      </c>
      <c r="AF299">
        <v>6</v>
      </c>
      <c r="AG299">
        <v>25</v>
      </c>
      <c r="AH299">
        <f>Table3[[#This Row],[Flies_per_Vial]]*Table3[[#This Row],[Vials_Total_UsedInMaze]]</f>
        <v>150</v>
      </c>
      <c r="AI299">
        <f>Table3[[#This Row],[total_Flies]]/Table3[[#This Row],[flies_in]]</f>
        <v>0.46</v>
      </c>
      <c r="AJ299"/>
      <c r="AK299" s="31">
        <f t="shared" si="41"/>
        <v>13.25</v>
      </c>
      <c r="AL299" s="31">
        <f t="shared" si="42"/>
        <v>4.6000000000000005</v>
      </c>
      <c r="AM299" s="31">
        <f>Table3[[#This Row],[end_time_num]]-Table3[[#This Row],[start_time_num]]</f>
        <v>-8.6499999999999986</v>
      </c>
      <c r="AN299" s="19" t="s">
        <v>147</v>
      </c>
    </row>
    <row r="300" spans="1:40" x14ac:dyDescent="0.35">
      <c r="A300">
        <v>16</v>
      </c>
      <c r="B300" s="19">
        <v>2</v>
      </c>
      <c r="C300" s="19" t="s">
        <v>155</v>
      </c>
      <c r="D300" t="s">
        <v>163</v>
      </c>
      <c r="E300" s="2">
        <v>0.55208333333333337</v>
      </c>
      <c r="F300" s="2">
        <v>0.19513888888888889</v>
      </c>
      <c r="G300" s="13">
        <v>-0.35694444444444451</v>
      </c>
      <c r="H300" s="20" t="s">
        <v>142</v>
      </c>
      <c r="I300" s="19" t="s">
        <v>6</v>
      </c>
      <c r="J300">
        <v>4</v>
      </c>
      <c r="K300" s="19" t="s">
        <v>2</v>
      </c>
      <c r="L300" s="14" t="s">
        <v>3</v>
      </c>
      <c r="M300">
        <v>22</v>
      </c>
      <c r="N300">
        <v>23</v>
      </c>
      <c r="O300">
        <v>18</v>
      </c>
      <c r="P300">
        <v>7</v>
      </c>
      <c r="Q300">
        <v>7</v>
      </c>
      <c r="R300">
        <v>6</v>
      </c>
      <c r="S300">
        <v>0</v>
      </c>
      <c r="T300">
        <v>7</v>
      </c>
      <c r="U300">
        <v>13</v>
      </c>
      <c r="V300">
        <v>2</v>
      </c>
      <c r="W300">
        <v>1</v>
      </c>
      <c r="X300">
        <v>0</v>
      </c>
      <c r="Y300">
        <v>3</v>
      </c>
      <c r="Z300">
        <v>0</v>
      </c>
      <c r="AA300">
        <v>2</v>
      </c>
      <c r="AB300">
        <v>2</v>
      </c>
      <c r="AC300" s="18">
        <f>SUMPRODUCT(OG_Data!D$1:S$1, M300:AB300) /SUM(M300:AB300)</f>
        <v>4.6548672566371678</v>
      </c>
      <c r="AD300">
        <f t="shared" si="40"/>
        <v>113</v>
      </c>
      <c r="AE300">
        <v>0</v>
      </c>
      <c r="AF300">
        <v>6</v>
      </c>
      <c r="AG300">
        <v>25</v>
      </c>
      <c r="AH300">
        <f>Table3[[#This Row],[Flies_per_Vial]]*Table3[[#This Row],[Vials_Total_UsedInMaze]]</f>
        <v>150</v>
      </c>
      <c r="AI300">
        <f>Table3[[#This Row],[total_Flies]]/Table3[[#This Row],[flies_in]]</f>
        <v>0.7533333333333333</v>
      </c>
      <c r="AJ300"/>
      <c r="AK300" s="31">
        <f t="shared" si="41"/>
        <v>13.25</v>
      </c>
      <c r="AL300" s="31">
        <f t="shared" si="42"/>
        <v>4.6833333333333336</v>
      </c>
      <c r="AM300" s="31">
        <f>Table3[[#This Row],[end_time_num]]-Table3[[#This Row],[start_time_num]]</f>
        <v>-8.5666666666666664</v>
      </c>
      <c r="AN300" s="19" t="s">
        <v>147</v>
      </c>
    </row>
    <row r="301" spans="1:40" x14ac:dyDescent="0.35">
      <c r="A301">
        <v>16</v>
      </c>
      <c r="B301" s="19">
        <v>2</v>
      </c>
      <c r="C301" s="19" t="s">
        <v>155</v>
      </c>
      <c r="D301" t="s">
        <v>163</v>
      </c>
      <c r="E301" s="2">
        <v>0.55208333333333337</v>
      </c>
      <c r="F301" s="2">
        <v>0.2</v>
      </c>
      <c r="G301" s="13">
        <v>-0.35208333333333336</v>
      </c>
      <c r="H301" s="20" t="s">
        <v>142</v>
      </c>
      <c r="I301" s="19" t="s">
        <v>6</v>
      </c>
      <c r="J301">
        <v>4</v>
      </c>
      <c r="K301" s="19" t="s">
        <v>1</v>
      </c>
      <c r="L301" s="14" t="s">
        <v>0</v>
      </c>
      <c r="M301">
        <v>21</v>
      </c>
      <c r="N301">
        <v>13</v>
      </c>
      <c r="O301">
        <v>20</v>
      </c>
      <c r="P301">
        <v>29</v>
      </c>
      <c r="Q301">
        <v>19</v>
      </c>
      <c r="R301">
        <v>14</v>
      </c>
      <c r="S301">
        <v>2</v>
      </c>
      <c r="T301">
        <v>5</v>
      </c>
      <c r="U301">
        <v>2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 s="18">
        <f>SUMPRODUCT(OG_Data!D$1:S$1, M301:AB301) /SUM(M301:AB301)</f>
        <v>3.9212598425196852</v>
      </c>
      <c r="AD301">
        <f t="shared" si="40"/>
        <v>127</v>
      </c>
      <c r="AE301">
        <v>0</v>
      </c>
      <c r="AF301">
        <v>6</v>
      </c>
      <c r="AG301">
        <v>25</v>
      </c>
      <c r="AH301">
        <f>Table3[[#This Row],[Flies_per_Vial]]*Table3[[#This Row],[Vials_Total_UsedInMaze]]</f>
        <v>150</v>
      </c>
      <c r="AI301">
        <f>Table3[[#This Row],[total_Flies]]/Table3[[#This Row],[flies_in]]</f>
        <v>0.84666666666666668</v>
      </c>
      <c r="AJ301"/>
      <c r="AK301" s="31">
        <f t="shared" si="41"/>
        <v>13.25</v>
      </c>
      <c r="AL301" s="31">
        <f t="shared" si="42"/>
        <v>4.8000000000000007</v>
      </c>
      <c r="AM301" s="31">
        <f>Table3[[#This Row],[end_time_num]]-Table3[[#This Row],[start_time_num]]</f>
        <v>-8.4499999999999993</v>
      </c>
      <c r="AN301" s="19" t="s">
        <v>147</v>
      </c>
    </row>
    <row r="302" spans="1:40" x14ac:dyDescent="0.35">
      <c r="A302">
        <v>17</v>
      </c>
      <c r="B302" s="19">
        <v>1</v>
      </c>
      <c r="C302" s="19" t="s">
        <v>154</v>
      </c>
      <c r="D302" t="s">
        <v>166</v>
      </c>
      <c r="E302" s="2">
        <v>0.40138888888888891</v>
      </c>
      <c r="F302" s="2">
        <v>0.51597222222222228</v>
      </c>
      <c r="G302" s="13">
        <v>0.11458333333333337</v>
      </c>
      <c r="H302" s="20" t="s">
        <v>136</v>
      </c>
      <c r="I302" s="19" t="s">
        <v>6</v>
      </c>
      <c r="J302">
        <v>2</v>
      </c>
      <c r="K302" s="19" t="s">
        <v>5</v>
      </c>
      <c r="L302" s="14" t="s">
        <v>3</v>
      </c>
      <c r="M302">
        <v>4</v>
      </c>
      <c r="N302">
        <v>2</v>
      </c>
      <c r="O302">
        <v>3</v>
      </c>
      <c r="P302">
        <v>2</v>
      </c>
      <c r="Q302">
        <v>11</v>
      </c>
      <c r="R302">
        <v>3</v>
      </c>
      <c r="S302">
        <v>0</v>
      </c>
      <c r="T302">
        <v>12</v>
      </c>
      <c r="U302">
        <v>3</v>
      </c>
      <c r="V302">
        <v>3</v>
      </c>
      <c r="W302">
        <v>7</v>
      </c>
      <c r="X302">
        <v>8</v>
      </c>
      <c r="Y302">
        <v>3</v>
      </c>
      <c r="Z302">
        <v>1</v>
      </c>
      <c r="AA302">
        <v>6</v>
      </c>
      <c r="AB302">
        <v>15</v>
      </c>
      <c r="AC302" s="18">
        <f>SUMPRODUCT(OG_Data!D$1:S$1, M302:AB302) /SUM(M302:AB302)</f>
        <v>9.7228915662650603</v>
      </c>
      <c r="AD302">
        <f t="shared" ref="AD302:AD331" si="43">SUM(M302:AB302)</f>
        <v>83</v>
      </c>
      <c r="AE302">
        <v>0</v>
      </c>
      <c r="AF302">
        <v>6</v>
      </c>
      <c r="AG302">
        <v>25</v>
      </c>
      <c r="AH302">
        <f>Table3[[#This Row],[Flies_per_Vial]]*Table3[[#This Row],[Vials_Total_UsedInMaze]]</f>
        <v>150</v>
      </c>
      <c r="AI302">
        <f>Table3[[#This Row],[total_Flies]]/Table3[[#This Row],[flies_in]]</f>
        <v>0.55333333333333334</v>
      </c>
      <c r="AJ302">
        <v>0</v>
      </c>
      <c r="AK302" s="31">
        <f t="shared" ref="AK302:AK331" si="44">24*E302</f>
        <v>9.6333333333333329</v>
      </c>
      <c r="AL302" s="31">
        <f t="shared" ref="AL302:AL331" si="45">24*F302</f>
        <v>12.383333333333335</v>
      </c>
      <c r="AM302" s="31">
        <f>Table3[[#This Row],[end_time_num]]-Table3[[#This Row],[start_time_num]]</f>
        <v>2.7500000000000018</v>
      </c>
      <c r="AN302" t="s">
        <v>148</v>
      </c>
    </row>
    <row r="303" spans="1:40" x14ac:dyDescent="0.35">
      <c r="A303">
        <v>17</v>
      </c>
      <c r="B303" s="19">
        <v>1</v>
      </c>
      <c r="C303" s="19" t="s">
        <v>154</v>
      </c>
      <c r="D303" t="s">
        <v>166</v>
      </c>
      <c r="E303" s="2">
        <v>0.40138888888888891</v>
      </c>
      <c r="F303" s="2">
        <v>0.52361111111111114</v>
      </c>
      <c r="G303" s="13">
        <v>0.12222222222222223</v>
      </c>
      <c r="H303" s="20" t="s">
        <v>136</v>
      </c>
      <c r="I303" s="19" t="s">
        <v>6</v>
      </c>
      <c r="J303">
        <v>2</v>
      </c>
      <c r="K303" s="19" t="s">
        <v>4</v>
      </c>
      <c r="L303" s="14" t="s">
        <v>0</v>
      </c>
      <c r="M303">
        <v>19</v>
      </c>
      <c r="N303">
        <v>15</v>
      </c>
      <c r="O303">
        <v>6</v>
      </c>
      <c r="P303">
        <v>4</v>
      </c>
      <c r="Q303">
        <v>7</v>
      </c>
      <c r="R303">
        <v>7</v>
      </c>
      <c r="S303">
        <v>16</v>
      </c>
      <c r="T303">
        <v>7</v>
      </c>
      <c r="U303">
        <v>4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s="18">
        <f>SUMPRODUCT(OG_Data!D$1:S$1, M303:AB303) /SUM(M303:AB303)</f>
        <v>4.3488372093023253</v>
      </c>
      <c r="AD303">
        <f t="shared" si="43"/>
        <v>86</v>
      </c>
      <c r="AE303">
        <v>0</v>
      </c>
      <c r="AF303">
        <v>5</v>
      </c>
      <c r="AG303">
        <v>25</v>
      </c>
      <c r="AH303">
        <f>Table3[[#This Row],[Flies_per_Vial]]*Table3[[#This Row],[Vials_Total_UsedInMaze]]</f>
        <v>125</v>
      </c>
      <c r="AI303">
        <f>Table3[[#This Row],[total_Flies]]/Table3[[#This Row],[flies_in]]</f>
        <v>0.68799999999999994</v>
      </c>
      <c r="AJ303">
        <v>0</v>
      </c>
      <c r="AK303" s="31">
        <f t="shared" si="44"/>
        <v>9.6333333333333329</v>
      </c>
      <c r="AL303" s="31">
        <f t="shared" si="45"/>
        <v>12.566666666666666</v>
      </c>
      <c r="AM303" s="31">
        <f>Table3[[#This Row],[end_time_num]]-Table3[[#This Row],[start_time_num]]</f>
        <v>2.9333333333333336</v>
      </c>
      <c r="AN303" t="s">
        <v>148</v>
      </c>
    </row>
    <row r="304" spans="1:40" x14ac:dyDescent="0.35">
      <c r="A304">
        <v>17</v>
      </c>
      <c r="B304" s="19">
        <v>1</v>
      </c>
      <c r="C304" s="19" t="s">
        <v>154</v>
      </c>
      <c r="D304" t="s">
        <v>166</v>
      </c>
      <c r="E304" s="2">
        <v>0.40138888888888891</v>
      </c>
      <c r="F304" s="2">
        <v>0.52847222222222223</v>
      </c>
      <c r="G304" s="13">
        <v>0.12708333333333333</v>
      </c>
      <c r="H304" s="20" t="s">
        <v>136</v>
      </c>
      <c r="I304" s="19" t="s">
        <v>6</v>
      </c>
      <c r="J304">
        <v>2</v>
      </c>
      <c r="K304" s="19" t="s">
        <v>2</v>
      </c>
      <c r="L304" s="14" t="s">
        <v>0</v>
      </c>
      <c r="M304">
        <v>9</v>
      </c>
      <c r="N304">
        <v>13</v>
      </c>
      <c r="O304">
        <v>15</v>
      </c>
      <c r="P304">
        <v>1</v>
      </c>
      <c r="Q304">
        <v>3</v>
      </c>
      <c r="R304">
        <v>11</v>
      </c>
      <c r="S304">
        <v>4</v>
      </c>
      <c r="T304">
        <v>4</v>
      </c>
      <c r="U304">
        <v>14</v>
      </c>
      <c r="V304">
        <v>4</v>
      </c>
      <c r="W304">
        <v>2</v>
      </c>
      <c r="X304">
        <v>1</v>
      </c>
      <c r="Y304">
        <v>1</v>
      </c>
      <c r="Z304">
        <v>0</v>
      </c>
      <c r="AA304">
        <v>1</v>
      </c>
      <c r="AB304">
        <v>0</v>
      </c>
      <c r="AC304" s="18">
        <f>SUMPRODUCT(OG_Data!D$1:S$1, M304:AB304) /SUM(M304:AB304)</f>
        <v>5.4578313253012052</v>
      </c>
      <c r="AD304">
        <f t="shared" si="43"/>
        <v>83</v>
      </c>
      <c r="AE304">
        <v>0</v>
      </c>
      <c r="AF304">
        <v>6</v>
      </c>
      <c r="AG304">
        <v>25</v>
      </c>
      <c r="AH304">
        <f>Table3[[#This Row],[Flies_per_Vial]]*Table3[[#This Row],[Vials_Total_UsedInMaze]]</f>
        <v>150</v>
      </c>
      <c r="AI304">
        <f>Table3[[#This Row],[total_Flies]]/Table3[[#This Row],[flies_in]]</f>
        <v>0.55333333333333334</v>
      </c>
      <c r="AJ304">
        <v>0</v>
      </c>
      <c r="AK304" s="31">
        <f t="shared" si="44"/>
        <v>9.6333333333333329</v>
      </c>
      <c r="AL304" s="31">
        <f t="shared" si="45"/>
        <v>12.683333333333334</v>
      </c>
      <c r="AM304" s="31">
        <f>Table3[[#This Row],[end_time_num]]-Table3[[#This Row],[start_time_num]]</f>
        <v>3.0500000000000007</v>
      </c>
      <c r="AN304" t="s">
        <v>148</v>
      </c>
    </row>
    <row r="305" spans="1:40" x14ac:dyDescent="0.35">
      <c r="A305">
        <v>17</v>
      </c>
      <c r="B305" s="19">
        <v>1</v>
      </c>
      <c r="C305" s="19" t="s">
        <v>154</v>
      </c>
      <c r="D305" t="s">
        <v>166</v>
      </c>
      <c r="E305" s="2">
        <v>0.40138888888888891</v>
      </c>
      <c r="F305" s="2">
        <v>0.53263888888888888</v>
      </c>
      <c r="G305" s="13">
        <v>0.13124999999999998</v>
      </c>
      <c r="H305" s="20" t="s">
        <v>136</v>
      </c>
      <c r="I305" s="19" t="s">
        <v>6</v>
      </c>
      <c r="J305">
        <v>2</v>
      </c>
      <c r="K305" s="19" t="s">
        <v>1</v>
      </c>
      <c r="L305" s="14" t="s">
        <v>3</v>
      </c>
      <c r="M305">
        <v>8</v>
      </c>
      <c r="N305">
        <v>14</v>
      </c>
      <c r="O305">
        <v>13</v>
      </c>
      <c r="P305">
        <v>8</v>
      </c>
      <c r="Q305">
        <v>9</v>
      </c>
      <c r="R305">
        <v>6</v>
      </c>
      <c r="S305">
        <v>1</v>
      </c>
      <c r="T305">
        <v>5</v>
      </c>
      <c r="U305">
        <v>0</v>
      </c>
      <c r="V305">
        <v>0</v>
      </c>
      <c r="W305">
        <v>2</v>
      </c>
      <c r="X305">
        <v>2</v>
      </c>
      <c r="Y305">
        <v>0</v>
      </c>
      <c r="Z305">
        <v>1</v>
      </c>
      <c r="AA305">
        <v>0</v>
      </c>
      <c r="AB305">
        <v>0</v>
      </c>
      <c r="AC305" s="18">
        <f>SUMPRODUCT(OG_Data!D$1:S$1, M305:AB305) /SUM(M305:AB305)</f>
        <v>4.27536231884058</v>
      </c>
      <c r="AD305">
        <f t="shared" si="43"/>
        <v>69</v>
      </c>
      <c r="AE305">
        <v>0</v>
      </c>
      <c r="AF305">
        <v>6</v>
      </c>
      <c r="AG305">
        <v>25</v>
      </c>
      <c r="AH305">
        <f>Table3[[#This Row],[Flies_per_Vial]]*Table3[[#This Row],[Vials_Total_UsedInMaze]]</f>
        <v>150</v>
      </c>
      <c r="AI305">
        <f>Table3[[#This Row],[total_Flies]]/Table3[[#This Row],[flies_in]]</f>
        <v>0.46</v>
      </c>
      <c r="AJ305">
        <v>0</v>
      </c>
      <c r="AK305" s="31">
        <f t="shared" si="44"/>
        <v>9.6333333333333329</v>
      </c>
      <c r="AL305" s="31">
        <f t="shared" si="45"/>
        <v>12.783333333333333</v>
      </c>
      <c r="AM305" s="31">
        <f>Table3[[#This Row],[end_time_num]]-Table3[[#This Row],[start_time_num]]</f>
        <v>3.1500000000000004</v>
      </c>
      <c r="AN305" t="s">
        <v>148</v>
      </c>
    </row>
    <row r="306" spans="1:40" x14ac:dyDescent="0.35">
      <c r="A306">
        <v>17</v>
      </c>
      <c r="B306" s="19">
        <v>1</v>
      </c>
      <c r="C306" s="19" t="s">
        <v>155</v>
      </c>
      <c r="D306" t="s">
        <v>166</v>
      </c>
      <c r="E306" s="2">
        <v>0.54583333333333328</v>
      </c>
      <c r="F306" s="2">
        <v>0.68611111111111112</v>
      </c>
      <c r="G306" s="13">
        <v>0.14027777777777783</v>
      </c>
      <c r="H306" s="20" t="s">
        <v>142</v>
      </c>
      <c r="I306" s="19" t="s">
        <v>6</v>
      </c>
      <c r="J306">
        <v>1</v>
      </c>
      <c r="K306" s="19" t="s">
        <v>5</v>
      </c>
      <c r="L306" s="14" t="s">
        <v>3</v>
      </c>
      <c r="M306">
        <v>9</v>
      </c>
      <c r="N306">
        <v>9</v>
      </c>
      <c r="O306">
        <v>11</v>
      </c>
      <c r="P306">
        <v>15</v>
      </c>
      <c r="Q306">
        <v>15</v>
      </c>
      <c r="R306">
        <v>9</v>
      </c>
      <c r="S306">
        <v>4</v>
      </c>
      <c r="T306">
        <v>18</v>
      </c>
      <c r="U306">
        <v>2</v>
      </c>
      <c r="V306">
        <v>4</v>
      </c>
      <c r="W306">
        <v>6</v>
      </c>
      <c r="X306">
        <v>3</v>
      </c>
      <c r="Y306">
        <v>3</v>
      </c>
      <c r="Z306">
        <v>2</v>
      </c>
      <c r="AA306">
        <v>2</v>
      </c>
      <c r="AB306">
        <v>1</v>
      </c>
      <c r="AC306" s="18">
        <f>SUMPRODUCT(OG_Data!D$1:S$1, M306:AB306) /SUM(M306:AB306)</f>
        <v>6.1415929203539825</v>
      </c>
      <c r="AD306">
        <f t="shared" si="43"/>
        <v>113</v>
      </c>
      <c r="AE306">
        <v>0</v>
      </c>
      <c r="AF306">
        <v>6</v>
      </c>
      <c r="AG306">
        <v>25</v>
      </c>
      <c r="AH306">
        <f>Table3[[#This Row],[Flies_per_Vial]]*Table3[[#This Row],[Vials_Total_UsedInMaze]]</f>
        <v>150</v>
      </c>
      <c r="AI306">
        <f>Table3[[#This Row],[total_Flies]]/Table3[[#This Row],[flies_in]]</f>
        <v>0.7533333333333333</v>
      </c>
      <c r="AJ306">
        <v>1</v>
      </c>
      <c r="AK306" s="31">
        <f t="shared" si="44"/>
        <v>13.099999999999998</v>
      </c>
      <c r="AL306" s="31">
        <f t="shared" si="45"/>
        <v>16.466666666666669</v>
      </c>
      <c r="AM306" s="31">
        <f>Table3[[#This Row],[end_time_num]]-Table3[[#This Row],[start_time_num]]</f>
        <v>3.3666666666666707</v>
      </c>
      <c r="AN306" s="19" t="s">
        <v>147</v>
      </c>
    </row>
    <row r="307" spans="1:40" x14ac:dyDescent="0.35">
      <c r="A307">
        <v>17</v>
      </c>
      <c r="B307" s="19">
        <v>1</v>
      </c>
      <c r="C307" s="19" t="s">
        <v>155</v>
      </c>
      <c r="D307" t="s">
        <v>166</v>
      </c>
      <c r="E307" s="2">
        <v>0.54583333333333328</v>
      </c>
      <c r="F307" s="2">
        <v>0.69027777777777777</v>
      </c>
      <c r="G307" s="13">
        <v>0.14444444444444449</v>
      </c>
      <c r="H307" s="20" t="s">
        <v>142</v>
      </c>
      <c r="I307" s="19" t="s">
        <v>6</v>
      </c>
      <c r="J307">
        <v>1</v>
      </c>
      <c r="K307" s="19" t="s">
        <v>4</v>
      </c>
      <c r="L307" s="14" t="s">
        <v>0</v>
      </c>
      <c r="M307">
        <v>18</v>
      </c>
      <c r="N307">
        <v>17</v>
      </c>
      <c r="O307">
        <v>23</v>
      </c>
      <c r="P307">
        <v>15</v>
      </c>
      <c r="Q307">
        <v>4</v>
      </c>
      <c r="R307">
        <v>9</v>
      </c>
      <c r="S307">
        <v>5</v>
      </c>
      <c r="T307">
        <v>9</v>
      </c>
      <c r="U307">
        <v>3</v>
      </c>
      <c r="V307">
        <v>2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 s="18">
        <f>SUMPRODUCT(OG_Data!D$1:S$1, M307:AB307) /SUM(M307:AB307)</f>
        <v>3.9622641509433962</v>
      </c>
      <c r="AD307">
        <f t="shared" si="43"/>
        <v>106</v>
      </c>
      <c r="AE307">
        <v>0</v>
      </c>
      <c r="AF307">
        <v>5</v>
      </c>
      <c r="AG307">
        <v>25</v>
      </c>
      <c r="AH307">
        <f>Table3[[#This Row],[Flies_per_Vial]]*Table3[[#This Row],[Vials_Total_UsedInMaze]]</f>
        <v>125</v>
      </c>
      <c r="AI307">
        <f>Table3[[#This Row],[total_Flies]]/Table3[[#This Row],[flies_in]]</f>
        <v>0.84799999999999998</v>
      </c>
      <c r="AJ307">
        <v>1</v>
      </c>
      <c r="AK307" s="31">
        <f t="shared" si="44"/>
        <v>13.099999999999998</v>
      </c>
      <c r="AL307" s="31">
        <f t="shared" si="45"/>
        <v>16.566666666666666</v>
      </c>
      <c r="AM307" s="31">
        <f>Table3[[#This Row],[end_time_num]]-Table3[[#This Row],[start_time_num]]</f>
        <v>3.4666666666666686</v>
      </c>
      <c r="AN307" s="19" t="s">
        <v>147</v>
      </c>
    </row>
    <row r="308" spans="1:40" x14ac:dyDescent="0.35">
      <c r="A308">
        <v>17</v>
      </c>
      <c r="B308" s="19">
        <v>1</v>
      </c>
      <c r="C308" s="19" t="s">
        <v>155</v>
      </c>
      <c r="D308" t="s">
        <v>166</v>
      </c>
      <c r="E308" s="2">
        <v>0.54583333333333328</v>
      </c>
      <c r="F308" s="2">
        <v>0.6958333333333333</v>
      </c>
      <c r="G308" s="13">
        <v>0.15000000000000002</v>
      </c>
      <c r="H308" s="20" t="s">
        <v>142</v>
      </c>
      <c r="I308" s="19" t="s">
        <v>6</v>
      </c>
      <c r="J308">
        <v>1</v>
      </c>
      <c r="K308" s="19" t="s">
        <v>2</v>
      </c>
      <c r="L308" s="14" t="s">
        <v>0</v>
      </c>
      <c r="M308">
        <v>30</v>
      </c>
      <c r="N308">
        <v>22</v>
      </c>
      <c r="O308">
        <v>17</v>
      </c>
      <c r="P308">
        <v>4</v>
      </c>
      <c r="Q308">
        <v>7</v>
      </c>
      <c r="R308">
        <v>13</v>
      </c>
      <c r="S308">
        <v>5</v>
      </c>
      <c r="T308">
        <v>14</v>
      </c>
      <c r="U308">
        <v>6</v>
      </c>
      <c r="V308">
        <v>4</v>
      </c>
      <c r="W308">
        <v>7</v>
      </c>
      <c r="X308">
        <v>0</v>
      </c>
      <c r="Y308">
        <v>0</v>
      </c>
      <c r="Z308">
        <v>0</v>
      </c>
      <c r="AA308">
        <v>0</v>
      </c>
      <c r="AB308">
        <v>0</v>
      </c>
      <c r="AC308" s="18">
        <f>SUMPRODUCT(OG_Data!D$1:S$1, M308:AB308) /SUM(M308:AB308)</f>
        <v>4.4341085271317828</v>
      </c>
      <c r="AD308">
        <f>SUM(M308:AB308)</f>
        <v>129</v>
      </c>
      <c r="AE308">
        <v>0</v>
      </c>
      <c r="AF308">
        <v>6</v>
      </c>
      <c r="AG308">
        <v>25</v>
      </c>
      <c r="AH308">
        <f>Table3[[#This Row],[Flies_per_Vial]]*Table3[[#This Row],[Vials_Total_UsedInMaze]]</f>
        <v>150</v>
      </c>
      <c r="AI308">
        <f>Table3[[#This Row],[total_Flies]]/Table3[[#This Row],[flies_in]]</f>
        <v>0.86</v>
      </c>
      <c r="AJ308">
        <v>1</v>
      </c>
      <c r="AK308" s="31">
        <f t="shared" si="44"/>
        <v>13.099999999999998</v>
      </c>
      <c r="AL308" s="31">
        <f t="shared" si="45"/>
        <v>16.7</v>
      </c>
      <c r="AM308" s="31">
        <f>Table3[[#This Row],[end_time_num]]-Table3[[#This Row],[start_time_num]]</f>
        <v>3.6000000000000014</v>
      </c>
      <c r="AN308" s="19" t="s">
        <v>147</v>
      </c>
    </row>
    <row r="309" spans="1:40" x14ac:dyDescent="0.35">
      <c r="A309">
        <v>17</v>
      </c>
      <c r="B309" s="19">
        <v>1</v>
      </c>
      <c r="C309" s="19" t="s">
        <v>155</v>
      </c>
      <c r="D309" t="s">
        <v>166</v>
      </c>
      <c r="E309" s="2">
        <v>0.54583333333333328</v>
      </c>
      <c r="F309" s="2">
        <v>0.69861111111111107</v>
      </c>
      <c r="G309" s="13">
        <v>0.15277777777777779</v>
      </c>
      <c r="H309" s="20" t="s">
        <v>142</v>
      </c>
      <c r="I309" s="19" t="s">
        <v>6</v>
      </c>
      <c r="J309">
        <v>1</v>
      </c>
      <c r="K309" s="19" t="s">
        <v>1</v>
      </c>
      <c r="L309" s="14" t="s">
        <v>3</v>
      </c>
      <c r="M309">
        <v>24</v>
      </c>
      <c r="N309">
        <v>14</v>
      </c>
      <c r="O309">
        <v>10</v>
      </c>
      <c r="P309">
        <v>8</v>
      </c>
      <c r="Q309">
        <v>21</v>
      </c>
      <c r="R309">
        <v>10</v>
      </c>
      <c r="S309">
        <v>7</v>
      </c>
      <c r="T309">
        <v>11</v>
      </c>
      <c r="U309">
        <v>6</v>
      </c>
      <c r="V309">
        <v>1</v>
      </c>
      <c r="W309">
        <v>2</v>
      </c>
      <c r="X309">
        <v>0</v>
      </c>
      <c r="Y309">
        <v>1</v>
      </c>
      <c r="Z309">
        <v>1</v>
      </c>
      <c r="AA309">
        <v>0</v>
      </c>
      <c r="AB309">
        <v>0</v>
      </c>
      <c r="AC309" s="18">
        <f>SUMPRODUCT(OG_Data!D$1:S$1, M309:AB309) /SUM(M309:AB309)</f>
        <v>4.5603448275862073</v>
      </c>
      <c r="AD309">
        <f>SUM(M309:AB309)</f>
        <v>116</v>
      </c>
      <c r="AE309">
        <v>0</v>
      </c>
      <c r="AF309">
        <v>6</v>
      </c>
      <c r="AG309">
        <v>25</v>
      </c>
      <c r="AH309">
        <f>Table3[[#This Row],[Flies_per_Vial]]*Table3[[#This Row],[Vials_Total_UsedInMaze]]</f>
        <v>150</v>
      </c>
      <c r="AI309">
        <f>Table3[[#This Row],[total_Flies]]/Table3[[#This Row],[flies_in]]</f>
        <v>0.77333333333333332</v>
      </c>
      <c r="AJ309">
        <v>1</v>
      </c>
      <c r="AK309" s="31">
        <f t="shared" si="44"/>
        <v>13.099999999999998</v>
      </c>
      <c r="AL309" s="31">
        <f t="shared" si="45"/>
        <v>16.766666666666666</v>
      </c>
      <c r="AM309" s="31">
        <f>Table3[[#This Row],[end_time_num]]-Table3[[#This Row],[start_time_num]]</f>
        <v>3.6666666666666679</v>
      </c>
      <c r="AN309" s="19" t="s">
        <v>147</v>
      </c>
    </row>
    <row r="310" spans="1:40" x14ac:dyDescent="0.35">
      <c r="A310">
        <v>17</v>
      </c>
      <c r="B310" s="19">
        <v>2</v>
      </c>
      <c r="C310" s="19" t="s">
        <v>154</v>
      </c>
      <c r="D310" t="s">
        <v>167</v>
      </c>
      <c r="E310" s="2">
        <v>0.40416666666666667</v>
      </c>
      <c r="F310" s="2">
        <v>0.52083333333333337</v>
      </c>
      <c r="G310" s="13">
        <v>0.1166666666666667</v>
      </c>
      <c r="H310" s="20" t="s">
        <v>136</v>
      </c>
      <c r="I310" s="19" t="s">
        <v>6</v>
      </c>
      <c r="J310">
        <v>4</v>
      </c>
      <c r="K310" s="19" t="s">
        <v>5</v>
      </c>
      <c r="L310" s="14" t="s">
        <v>3</v>
      </c>
      <c r="M310">
        <v>6</v>
      </c>
      <c r="N310">
        <v>4</v>
      </c>
      <c r="O310">
        <v>2</v>
      </c>
      <c r="P310">
        <v>5</v>
      </c>
      <c r="Q310">
        <v>10</v>
      </c>
      <c r="R310">
        <v>7</v>
      </c>
      <c r="S310">
        <v>6</v>
      </c>
      <c r="T310">
        <v>11</v>
      </c>
      <c r="U310">
        <v>1</v>
      </c>
      <c r="V310">
        <v>7</v>
      </c>
      <c r="W310">
        <v>4</v>
      </c>
      <c r="X310">
        <v>2</v>
      </c>
      <c r="Y310">
        <v>1</v>
      </c>
      <c r="Z310">
        <v>1</v>
      </c>
      <c r="AA310">
        <v>7</v>
      </c>
      <c r="AB310">
        <v>3</v>
      </c>
      <c r="AC310" s="18">
        <f>SUMPRODUCT(OG_Data!D$1:S$1, M310:AB310) /SUM(M310:AB310)</f>
        <v>7.6493506493506498</v>
      </c>
      <c r="AD310">
        <f t="shared" si="43"/>
        <v>77</v>
      </c>
      <c r="AE310">
        <v>0</v>
      </c>
      <c r="AF310">
        <v>5</v>
      </c>
      <c r="AG310">
        <v>25</v>
      </c>
      <c r="AH310">
        <f>Table3[[#This Row],[Flies_per_Vial]]*Table3[[#This Row],[Vials_Total_UsedInMaze]]</f>
        <v>125</v>
      </c>
      <c r="AI310">
        <f>Table3[[#This Row],[total_Flies]]/Table3[[#This Row],[flies_in]]</f>
        <v>0.61599999999999999</v>
      </c>
      <c r="AJ310">
        <v>2</v>
      </c>
      <c r="AK310" s="31">
        <f t="shared" si="44"/>
        <v>9.6999999999999993</v>
      </c>
      <c r="AL310" s="31">
        <f t="shared" si="45"/>
        <v>12.5</v>
      </c>
      <c r="AM310" s="31">
        <f>Table3[[#This Row],[end_time_num]]-Table3[[#This Row],[start_time_num]]</f>
        <v>2.8000000000000007</v>
      </c>
      <c r="AN310" s="19" t="s">
        <v>147</v>
      </c>
    </row>
    <row r="311" spans="1:40" x14ac:dyDescent="0.35">
      <c r="A311">
        <v>17</v>
      </c>
      <c r="B311" s="19">
        <v>2</v>
      </c>
      <c r="C311" s="19" t="s">
        <v>154</v>
      </c>
      <c r="D311" t="s">
        <v>167</v>
      </c>
      <c r="E311" s="2">
        <v>0.40416666666666667</v>
      </c>
      <c r="F311" s="2">
        <v>0.5229166666666667</v>
      </c>
      <c r="G311" s="13">
        <v>0.11875000000000002</v>
      </c>
      <c r="H311" s="20" t="s">
        <v>136</v>
      </c>
      <c r="I311" s="19" t="s">
        <v>6</v>
      </c>
      <c r="J311">
        <v>4</v>
      </c>
      <c r="K311" s="19" t="s">
        <v>4</v>
      </c>
      <c r="L311" s="14" t="s">
        <v>0</v>
      </c>
      <c r="M311">
        <v>6</v>
      </c>
      <c r="N311">
        <v>5</v>
      </c>
      <c r="O311">
        <v>6</v>
      </c>
      <c r="P311">
        <v>5</v>
      </c>
      <c r="Q311">
        <v>4</v>
      </c>
      <c r="R311">
        <v>7</v>
      </c>
      <c r="S311">
        <v>6</v>
      </c>
      <c r="T311">
        <v>8</v>
      </c>
      <c r="U311">
        <v>0</v>
      </c>
      <c r="V311">
        <v>2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 s="18">
        <f>SUMPRODUCT(OG_Data!D$1:S$1, M311:AB311) /SUM(M311:AB311)</f>
        <v>5.0599999999999996</v>
      </c>
      <c r="AD311">
        <f t="shared" si="43"/>
        <v>50</v>
      </c>
      <c r="AE311">
        <v>0</v>
      </c>
      <c r="AF311">
        <v>3</v>
      </c>
      <c r="AG311">
        <v>25</v>
      </c>
      <c r="AH311">
        <f>Table3[[#This Row],[Flies_per_Vial]]*Table3[[#This Row],[Vials_Total_UsedInMaze]]</f>
        <v>75</v>
      </c>
      <c r="AI311">
        <f>Table3[[#This Row],[total_Flies]]/Table3[[#This Row],[flies_in]]</f>
        <v>0.66666666666666663</v>
      </c>
      <c r="AJ311">
        <v>2</v>
      </c>
      <c r="AK311" s="31">
        <f t="shared" si="44"/>
        <v>9.6999999999999993</v>
      </c>
      <c r="AL311" s="31">
        <f t="shared" si="45"/>
        <v>12.55</v>
      </c>
      <c r="AM311" s="31">
        <f>Table3[[#This Row],[end_time_num]]-Table3[[#This Row],[start_time_num]]</f>
        <v>2.8500000000000014</v>
      </c>
      <c r="AN311" s="19" t="s">
        <v>147</v>
      </c>
    </row>
    <row r="312" spans="1:40" x14ac:dyDescent="0.35">
      <c r="A312">
        <v>17</v>
      </c>
      <c r="B312" s="19">
        <v>2</v>
      </c>
      <c r="C312" s="19" t="s">
        <v>154</v>
      </c>
      <c r="D312" t="s">
        <v>167</v>
      </c>
      <c r="E312" s="2">
        <v>0.40416666666666667</v>
      </c>
      <c r="F312" s="2">
        <v>0.52569444444444446</v>
      </c>
      <c r="G312" s="13">
        <v>0.12152777777777779</v>
      </c>
      <c r="H312" s="20" t="s">
        <v>136</v>
      </c>
      <c r="I312" s="19" t="s">
        <v>6</v>
      </c>
      <c r="J312">
        <v>4</v>
      </c>
      <c r="K312" s="19" t="s">
        <v>2</v>
      </c>
      <c r="L312" s="14" t="s">
        <v>0</v>
      </c>
      <c r="M312">
        <v>9</v>
      </c>
      <c r="N312">
        <v>10</v>
      </c>
      <c r="O312">
        <v>17</v>
      </c>
      <c r="P312">
        <v>2</v>
      </c>
      <c r="Q312">
        <v>1</v>
      </c>
      <c r="R312">
        <v>17</v>
      </c>
      <c r="S312">
        <v>2</v>
      </c>
      <c r="T312">
        <v>15</v>
      </c>
      <c r="U312">
        <v>10</v>
      </c>
      <c r="V312">
        <v>2</v>
      </c>
      <c r="W312">
        <v>2</v>
      </c>
      <c r="X312">
        <v>0</v>
      </c>
      <c r="Y312">
        <v>1</v>
      </c>
      <c r="Z312">
        <v>0</v>
      </c>
      <c r="AA312">
        <v>0</v>
      </c>
      <c r="AB312">
        <v>2</v>
      </c>
      <c r="AC312" s="18">
        <f>SUMPRODUCT(OG_Data!D$1:S$1, M312:AB312) /SUM(M312:AB312)</f>
        <v>5.6222222222222218</v>
      </c>
      <c r="AD312">
        <f t="shared" si="43"/>
        <v>90</v>
      </c>
      <c r="AE312">
        <v>5</v>
      </c>
      <c r="AF312">
        <v>5</v>
      </c>
      <c r="AG312">
        <v>25</v>
      </c>
      <c r="AH312">
        <f>Table3[[#This Row],[Flies_per_Vial]]*Table3[[#This Row],[Vials_Total_UsedInMaze]]</f>
        <v>125</v>
      </c>
      <c r="AI312">
        <f>Table3[[#This Row],[total_Flies]]/Table3[[#This Row],[flies_in]]</f>
        <v>0.72</v>
      </c>
      <c r="AJ312">
        <v>2</v>
      </c>
      <c r="AK312" s="31">
        <f t="shared" si="44"/>
        <v>9.6999999999999993</v>
      </c>
      <c r="AL312" s="31">
        <f t="shared" si="45"/>
        <v>12.616666666666667</v>
      </c>
      <c r="AM312" s="31">
        <f>Table3[[#This Row],[end_time_num]]-Table3[[#This Row],[start_time_num]]</f>
        <v>2.9166666666666679</v>
      </c>
      <c r="AN312" s="19" t="s">
        <v>147</v>
      </c>
    </row>
    <row r="313" spans="1:40" x14ac:dyDescent="0.35">
      <c r="A313">
        <v>17</v>
      </c>
      <c r="B313" s="19">
        <v>2</v>
      </c>
      <c r="C313" s="19" t="s">
        <v>154</v>
      </c>
      <c r="D313" t="s">
        <v>167</v>
      </c>
      <c r="E313" s="2">
        <v>0.40416666666666667</v>
      </c>
      <c r="F313" s="2">
        <v>0.53055555555555556</v>
      </c>
      <c r="G313" s="13">
        <v>0.12638888888888888</v>
      </c>
      <c r="H313" s="20" t="s">
        <v>136</v>
      </c>
      <c r="I313" s="19" t="s">
        <v>6</v>
      </c>
      <c r="J313">
        <v>4</v>
      </c>
      <c r="K313" s="19" t="s">
        <v>1</v>
      </c>
      <c r="L313" s="14" t="s">
        <v>3</v>
      </c>
      <c r="M313">
        <v>12</v>
      </c>
      <c r="N313">
        <v>9</v>
      </c>
      <c r="O313">
        <v>11</v>
      </c>
      <c r="P313">
        <v>11</v>
      </c>
      <c r="Q313">
        <v>11</v>
      </c>
      <c r="R313">
        <v>9</v>
      </c>
      <c r="S313">
        <v>3</v>
      </c>
      <c r="T313">
        <v>14</v>
      </c>
      <c r="U313">
        <v>2</v>
      </c>
      <c r="V313">
        <v>0</v>
      </c>
      <c r="W313">
        <v>0</v>
      </c>
      <c r="X313">
        <v>2</v>
      </c>
      <c r="Y313">
        <v>2</v>
      </c>
      <c r="Z313">
        <v>0</v>
      </c>
      <c r="AA313">
        <v>0</v>
      </c>
      <c r="AB313">
        <v>0</v>
      </c>
      <c r="AC313" s="18">
        <f>SUMPRODUCT(OG_Data!D$1:S$1, M313:AB313) /SUM(M313:AB313)</f>
        <v>4.8488372093023253</v>
      </c>
      <c r="AD313">
        <f t="shared" si="43"/>
        <v>86</v>
      </c>
      <c r="AE313">
        <v>0</v>
      </c>
      <c r="AF313">
        <v>6</v>
      </c>
      <c r="AG313">
        <v>25</v>
      </c>
      <c r="AH313">
        <f>Table3[[#This Row],[Flies_per_Vial]]*Table3[[#This Row],[Vials_Total_UsedInMaze]]</f>
        <v>150</v>
      </c>
      <c r="AI313">
        <f>Table3[[#This Row],[total_Flies]]/Table3[[#This Row],[flies_in]]</f>
        <v>0.57333333333333336</v>
      </c>
      <c r="AJ313">
        <v>2</v>
      </c>
      <c r="AK313" s="31">
        <f t="shared" si="44"/>
        <v>9.6999999999999993</v>
      </c>
      <c r="AL313" s="31">
        <f t="shared" si="45"/>
        <v>12.733333333333334</v>
      </c>
      <c r="AM313" s="31">
        <f>Table3[[#This Row],[end_time_num]]-Table3[[#This Row],[start_time_num]]</f>
        <v>3.033333333333335</v>
      </c>
      <c r="AN313" s="19" t="s">
        <v>147</v>
      </c>
    </row>
    <row r="314" spans="1:40" x14ac:dyDescent="0.35">
      <c r="A314">
        <v>17</v>
      </c>
      <c r="B314" s="19">
        <v>2</v>
      </c>
      <c r="C314" s="19" t="s">
        <v>155</v>
      </c>
      <c r="D314" t="s">
        <v>167</v>
      </c>
      <c r="E314" s="2">
        <v>0.5493055555555556</v>
      </c>
      <c r="F314" s="2">
        <v>0.6875</v>
      </c>
      <c r="G314" s="13">
        <v>0.1381944444444444</v>
      </c>
      <c r="H314" s="20" t="s">
        <v>142</v>
      </c>
      <c r="I314" s="19" t="s">
        <v>6</v>
      </c>
      <c r="J314">
        <v>3</v>
      </c>
      <c r="K314" s="19" t="s">
        <v>5</v>
      </c>
      <c r="L314" s="14" t="s">
        <v>3</v>
      </c>
      <c r="M314">
        <v>2</v>
      </c>
      <c r="N314">
        <v>1</v>
      </c>
      <c r="O314">
        <v>9</v>
      </c>
      <c r="P314">
        <v>9</v>
      </c>
      <c r="Q314">
        <v>10</v>
      </c>
      <c r="R314">
        <v>9</v>
      </c>
      <c r="S314">
        <v>12</v>
      </c>
      <c r="T314">
        <v>13</v>
      </c>
      <c r="U314">
        <v>2</v>
      </c>
      <c r="V314">
        <v>2</v>
      </c>
      <c r="W314">
        <v>2</v>
      </c>
      <c r="X314">
        <v>0</v>
      </c>
      <c r="Y314">
        <v>0</v>
      </c>
      <c r="Z314">
        <v>1</v>
      </c>
      <c r="AA314">
        <v>5</v>
      </c>
      <c r="AB314">
        <v>2</v>
      </c>
      <c r="AC314" s="18">
        <f>SUMPRODUCT(OG_Data!D$1:S$1, M314:AB314) /SUM(M314:AB314)</f>
        <v>6.8354430379746836</v>
      </c>
      <c r="AD314">
        <f t="shared" si="43"/>
        <v>79</v>
      </c>
      <c r="AE314">
        <v>0</v>
      </c>
      <c r="AF314">
        <v>6</v>
      </c>
      <c r="AG314">
        <v>25</v>
      </c>
      <c r="AH314">
        <f>Table3[[#This Row],[Flies_per_Vial]]*Table3[[#This Row],[Vials_Total_UsedInMaze]]</f>
        <v>150</v>
      </c>
      <c r="AI314">
        <f>Table3[[#This Row],[total_Flies]]/Table3[[#This Row],[flies_in]]</f>
        <v>0.52666666666666662</v>
      </c>
      <c r="AJ314">
        <v>2</v>
      </c>
      <c r="AK314" s="31">
        <f t="shared" si="44"/>
        <v>13.183333333333334</v>
      </c>
      <c r="AL314" s="31">
        <f t="shared" si="45"/>
        <v>16.5</v>
      </c>
      <c r="AM314" s="31">
        <f>Table3[[#This Row],[end_time_num]]-Table3[[#This Row],[start_time_num]]</f>
        <v>3.3166666666666664</v>
      </c>
      <c r="AN314" s="19" t="s">
        <v>147</v>
      </c>
    </row>
    <row r="315" spans="1:40" x14ac:dyDescent="0.35">
      <c r="A315">
        <v>17</v>
      </c>
      <c r="B315" s="19">
        <v>2</v>
      </c>
      <c r="C315" s="19" t="s">
        <v>155</v>
      </c>
      <c r="D315" t="s">
        <v>167</v>
      </c>
      <c r="E315" s="2">
        <v>0.5493055555555556</v>
      </c>
      <c r="F315" s="2">
        <v>0.69097222222222221</v>
      </c>
      <c r="G315" s="13">
        <v>0.14166666666666661</v>
      </c>
      <c r="H315" s="20" t="s">
        <v>142</v>
      </c>
      <c r="I315" s="19" t="s">
        <v>6</v>
      </c>
      <c r="J315">
        <v>3</v>
      </c>
      <c r="K315" s="19" t="s">
        <v>4</v>
      </c>
      <c r="L315" s="14" t="s">
        <v>0</v>
      </c>
      <c r="M315">
        <v>17</v>
      </c>
      <c r="N315">
        <v>7</v>
      </c>
      <c r="O315">
        <v>12</v>
      </c>
      <c r="P315">
        <v>9</v>
      </c>
      <c r="Q315">
        <v>6</v>
      </c>
      <c r="R315">
        <v>4</v>
      </c>
      <c r="S315">
        <v>8</v>
      </c>
      <c r="T315">
        <v>14</v>
      </c>
      <c r="U315">
        <v>0</v>
      </c>
      <c r="V315">
        <v>2</v>
      </c>
      <c r="W315">
        <v>3</v>
      </c>
      <c r="X315">
        <v>0</v>
      </c>
      <c r="Y315">
        <v>0</v>
      </c>
      <c r="Z315">
        <v>0</v>
      </c>
      <c r="AA315">
        <v>1</v>
      </c>
      <c r="AB315">
        <v>0</v>
      </c>
      <c r="AC315" s="18">
        <f>SUMPRODUCT(OG_Data!D$1:S$1, M315:AB315) /SUM(M315:AB315)</f>
        <v>4.7349397590361448</v>
      </c>
      <c r="AD315">
        <f t="shared" si="43"/>
        <v>83</v>
      </c>
      <c r="AE315">
        <v>0</v>
      </c>
      <c r="AF315">
        <v>4</v>
      </c>
      <c r="AG315">
        <v>25</v>
      </c>
      <c r="AH315">
        <f>Table3[[#This Row],[Flies_per_Vial]]*Table3[[#This Row],[Vials_Total_UsedInMaze]]</f>
        <v>100</v>
      </c>
      <c r="AI315">
        <f>Table3[[#This Row],[total_Flies]]/Table3[[#This Row],[flies_in]]</f>
        <v>0.83</v>
      </c>
      <c r="AJ315">
        <v>2</v>
      </c>
      <c r="AK315" s="31">
        <f t="shared" si="44"/>
        <v>13.183333333333334</v>
      </c>
      <c r="AL315" s="31">
        <f t="shared" si="45"/>
        <v>16.583333333333332</v>
      </c>
      <c r="AM315" s="31">
        <f>Table3[[#This Row],[end_time_num]]-Table3[[#This Row],[start_time_num]]</f>
        <v>3.3999999999999986</v>
      </c>
      <c r="AN315" s="19" t="s">
        <v>147</v>
      </c>
    </row>
    <row r="316" spans="1:40" x14ac:dyDescent="0.35">
      <c r="A316">
        <v>17</v>
      </c>
      <c r="B316" s="19">
        <v>2</v>
      </c>
      <c r="C316" s="19" t="s">
        <v>155</v>
      </c>
      <c r="D316" t="s">
        <v>167</v>
      </c>
      <c r="E316" s="2">
        <v>0.5493055555555556</v>
      </c>
      <c r="F316" s="2">
        <v>0.69444444444444442</v>
      </c>
      <c r="G316" s="13">
        <v>0.14513888888888882</v>
      </c>
      <c r="H316" s="20" t="s">
        <v>142</v>
      </c>
      <c r="I316" s="19" t="s">
        <v>6</v>
      </c>
      <c r="J316">
        <v>3</v>
      </c>
      <c r="K316" s="19" t="s">
        <v>2</v>
      </c>
      <c r="L316" s="14" t="s">
        <v>0</v>
      </c>
      <c r="M316">
        <v>19</v>
      </c>
      <c r="N316">
        <v>18</v>
      </c>
      <c r="O316">
        <v>25</v>
      </c>
      <c r="P316">
        <v>2</v>
      </c>
      <c r="Q316">
        <v>3</v>
      </c>
      <c r="R316">
        <v>17</v>
      </c>
      <c r="S316">
        <v>4</v>
      </c>
      <c r="T316">
        <v>6</v>
      </c>
      <c r="U316">
        <v>8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 s="18">
        <f>SUMPRODUCT(OG_Data!D$1:S$1, M316:AB316) /SUM(M316:AB316)</f>
        <v>4.0769230769230766</v>
      </c>
      <c r="AD316">
        <f t="shared" si="43"/>
        <v>104</v>
      </c>
      <c r="AE316">
        <v>0</v>
      </c>
      <c r="AF316">
        <v>5</v>
      </c>
      <c r="AG316">
        <v>25</v>
      </c>
      <c r="AH316">
        <f>Table3[[#This Row],[Flies_per_Vial]]*Table3[[#This Row],[Vials_Total_UsedInMaze]]</f>
        <v>125</v>
      </c>
      <c r="AI316">
        <f>Table3[[#This Row],[total_Flies]]/Table3[[#This Row],[flies_in]]</f>
        <v>0.83199999999999996</v>
      </c>
      <c r="AJ316">
        <v>2</v>
      </c>
      <c r="AK316" s="31">
        <f t="shared" si="44"/>
        <v>13.183333333333334</v>
      </c>
      <c r="AL316" s="31">
        <f t="shared" si="45"/>
        <v>16.666666666666664</v>
      </c>
      <c r="AM316" s="31">
        <f>Table3[[#This Row],[end_time_num]]-Table3[[#This Row],[start_time_num]]</f>
        <v>3.4833333333333307</v>
      </c>
      <c r="AN316" s="19" t="s">
        <v>147</v>
      </c>
    </row>
    <row r="317" spans="1:40" x14ac:dyDescent="0.35">
      <c r="A317">
        <v>17</v>
      </c>
      <c r="B317" s="19">
        <v>2</v>
      </c>
      <c r="C317" s="19" t="s">
        <v>155</v>
      </c>
      <c r="D317" t="s">
        <v>167</v>
      </c>
      <c r="E317" s="2">
        <v>0.5493055555555556</v>
      </c>
      <c r="F317" s="2">
        <v>0.69722222222222219</v>
      </c>
      <c r="G317" s="13">
        <v>0.14791666666666659</v>
      </c>
      <c r="H317" s="20" t="s">
        <v>142</v>
      </c>
      <c r="I317" s="19" t="s">
        <v>6</v>
      </c>
      <c r="J317">
        <v>3</v>
      </c>
      <c r="K317" s="19" t="s">
        <v>1</v>
      </c>
      <c r="L317" s="14" t="s">
        <v>3</v>
      </c>
      <c r="M317">
        <v>8</v>
      </c>
      <c r="N317">
        <v>7</v>
      </c>
      <c r="O317">
        <v>4</v>
      </c>
      <c r="P317">
        <v>4</v>
      </c>
      <c r="Q317">
        <v>3</v>
      </c>
      <c r="R317">
        <v>5</v>
      </c>
      <c r="S317">
        <v>0</v>
      </c>
      <c r="T317">
        <v>8</v>
      </c>
      <c r="U317">
        <v>2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 s="18">
        <f>SUMPRODUCT(OG_Data!D$1:S$1, M317:AB317) /SUM(M317:AB317)</f>
        <v>4.5</v>
      </c>
      <c r="AD317">
        <f t="shared" si="43"/>
        <v>42</v>
      </c>
      <c r="AE317">
        <v>0</v>
      </c>
      <c r="AF317">
        <v>6</v>
      </c>
      <c r="AG317">
        <v>25</v>
      </c>
      <c r="AH317">
        <f>Table3[[#This Row],[Flies_per_Vial]]*Table3[[#This Row],[Vials_Total_UsedInMaze]]</f>
        <v>150</v>
      </c>
      <c r="AI317">
        <f>Table3[[#This Row],[total_Flies]]/Table3[[#This Row],[flies_in]]</f>
        <v>0.28000000000000003</v>
      </c>
      <c r="AJ317">
        <v>2</v>
      </c>
      <c r="AK317" s="31">
        <f t="shared" si="44"/>
        <v>13.183333333333334</v>
      </c>
      <c r="AL317" s="31">
        <f t="shared" si="45"/>
        <v>16.733333333333334</v>
      </c>
      <c r="AM317" s="31">
        <f>Table3[[#This Row],[end_time_num]]-Table3[[#This Row],[start_time_num]]</f>
        <v>3.5500000000000007</v>
      </c>
      <c r="AN317" s="19" t="s">
        <v>147</v>
      </c>
    </row>
    <row r="318" spans="1:40" x14ac:dyDescent="0.35">
      <c r="A318">
        <v>18</v>
      </c>
      <c r="B318" s="19">
        <v>1</v>
      </c>
      <c r="C318" s="19" t="s">
        <v>154</v>
      </c>
      <c r="D318" t="s">
        <v>169</v>
      </c>
      <c r="E318" s="2">
        <v>0.3888888888888889</v>
      </c>
      <c r="F318" s="2">
        <v>0.52083333333333337</v>
      </c>
      <c r="G318" s="13">
        <v>0.13194444444444448</v>
      </c>
      <c r="H318" s="20" t="s">
        <v>136</v>
      </c>
      <c r="I318" s="19" t="s">
        <v>6</v>
      </c>
      <c r="J318">
        <v>1</v>
      </c>
      <c r="K318" s="19" t="s">
        <v>4</v>
      </c>
      <c r="L318" s="14" t="s">
        <v>3</v>
      </c>
      <c r="M318">
        <v>7</v>
      </c>
      <c r="N318">
        <v>7</v>
      </c>
      <c r="O318">
        <v>2</v>
      </c>
      <c r="P318">
        <v>5</v>
      </c>
      <c r="Q318">
        <v>9</v>
      </c>
      <c r="R318">
        <v>5</v>
      </c>
      <c r="S318">
        <v>8</v>
      </c>
      <c r="T318">
        <v>10</v>
      </c>
      <c r="U318">
        <v>3</v>
      </c>
      <c r="V318">
        <v>5</v>
      </c>
      <c r="W318">
        <v>6</v>
      </c>
      <c r="X318">
        <v>4</v>
      </c>
      <c r="Y318">
        <v>1</v>
      </c>
      <c r="Z318">
        <v>0</v>
      </c>
      <c r="AA318">
        <v>0</v>
      </c>
      <c r="AB318">
        <v>0</v>
      </c>
      <c r="AC318" s="18">
        <f>SUMPRODUCT(OG_Data!D$1:S$1, M318:AB318) /SUM(M318:AB318)</f>
        <v>6.416666666666667</v>
      </c>
      <c r="AD318">
        <f t="shared" ref="AD318:AD323" si="46">SUM(M318:AB318)</f>
        <v>72</v>
      </c>
      <c r="AE318">
        <v>0</v>
      </c>
      <c r="AF318">
        <v>5</v>
      </c>
      <c r="AG318">
        <v>25</v>
      </c>
      <c r="AH318">
        <f>Table3[[#This Row],[Flies_per_Vial]]*Table3[[#This Row],[Vials_Total_UsedInMaze]]</f>
        <v>125</v>
      </c>
      <c r="AI318">
        <f>Table3[[#This Row],[total_Flies]]/Table3[[#This Row],[flies_in]]</f>
        <v>0.57599999999999996</v>
      </c>
      <c r="AJ318"/>
      <c r="AK318" s="31">
        <f t="shared" si="44"/>
        <v>9.3333333333333339</v>
      </c>
      <c r="AL318" s="31">
        <f t="shared" si="45"/>
        <v>12.5</v>
      </c>
      <c r="AM318" s="31">
        <f>Table3[[#This Row],[end_time_num]]-Table3[[#This Row],[start_time_num]]</f>
        <v>3.1666666666666661</v>
      </c>
      <c r="AN318" t="s">
        <v>148</v>
      </c>
    </row>
    <row r="319" spans="1:40" x14ac:dyDescent="0.35">
      <c r="A319">
        <v>18</v>
      </c>
      <c r="B319" s="19">
        <v>1</v>
      </c>
      <c r="C319" s="19" t="s">
        <v>154</v>
      </c>
      <c r="D319" t="s">
        <v>169</v>
      </c>
      <c r="E319" s="2">
        <v>0.3888888888888889</v>
      </c>
      <c r="F319" s="2">
        <v>0.52986111111111112</v>
      </c>
      <c r="G319" s="13">
        <v>0.14097222222222222</v>
      </c>
      <c r="H319" s="20" t="s">
        <v>136</v>
      </c>
      <c r="I319" s="19" t="s">
        <v>6</v>
      </c>
      <c r="J319">
        <v>1</v>
      </c>
      <c r="K319" s="19" t="s">
        <v>2</v>
      </c>
      <c r="L319" s="14" t="s">
        <v>3</v>
      </c>
      <c r="M319">
        <v>7</v>
      </c>
      <c r="N319">
        <v>11</v>
      </c>
      <c r="O319">
        <v>11</v>
      </c>
      <c r="P319">
        <v>1</v>
      </c>
      <c r="Q319">
        <v>3</v>
      </c>
      <c r="R319">
        <v>6</v>
      </c>
      <c r="S319">
        <v>4</v>
      </c>
      <c r="T319">
        <v>9</v>
      </c>
      <c r="U319">
        <v>9</v>
      </c>
      <c r="V319">
        <v>9</v>
      </c>
      <c r="W319">
        <v>5</v>
      </c>
      <c r="X319">
        <v>0</v>
      </c>
      <c r="Y319">
        <v>1</v>
      </c>
      <c r="Z319">
        <v>6</v>
      </c>
      <c r="AA319">
        <v>1</v>
      </c>
      <c r="AB319">
        <v>9</v>
      </c>
      <c r="AC319" s="18">
        <f>SUMPRODUCT(OG_Data!D$1:S$1, M319:AB319) /SUM(M319:AB319)</f>
        <v>7.5978260869565215</v>
      </c>
      <c r="AD319">
        <f t="shared" si="46"/>
        <v>92</v>
      </c>
      <c r="AE319">
        <v>0</v>
      </c>
      <c r="AF319">
        <v>5</v>
      </c>
      <c r="AG319">
        <v>25</v>
      </c>
      <c r="AH319">
        <f>Table3[[#This Row],[Flies_per_Vial]]*Table3[[#This Row],[Vials_Total_UsedInMaze]]</f>
        <v>125</v>
      </c>
      <c r="AI319">
        <f>Table3[[#This Row],[total_Flies]]/Table3[[#This Row],[flies_in]]</f>
        <v>0.73599999999999999</v>
      </c>
      <c r="AJ319"/>
      <c r="AK319" s="31">
        <f t="shared" si="44"/>
        <v>9.3333333333333339</v>
      </c>
      <c r="AL319" s="31">
        <f t="shared" si="45"/>
        <v>12.716666666666667</v>
      </c>
      <c r="AM319" s="31">
        <f>Table3[[#This Row],[end_time_num]]-Table3[[#This Row],[start_time_num]]</f>
        <v>3.3833333333333329</v>
      </c>
      <c r="AN319" t="s">
        <v>148</v>
      </c>
    </row>
    <row r="320" spans="1:40" x14ac:dyDescent="0.35">
      <c r="A320">
        <v>18</v>
      </c>
      <c r="B320" s="19">
        <v>1</v>
      </c>
      <c r="C320" s="19" t="s">
        <v>154</v>
      </c>
      <c r="D320" t="s">
        <v>169</v>
      </c>
      <c r="E320" s="2">
        <v>0.3888888888888889</v>
      </c>
      <c r="F320" s="2">
        <v>0.53819444444444442</v>
      </c>
      <c r="G320" s="13">
        <v>0.14930555555555552</v>
      </c>
      <c r="H320" s="20" t="s">
        <v>136</v>
      </c>
      <c r="I320" s="19" t="s">
        <v>6</v>
      </c>
      <c r="J320">
        <v>1</v>
      </c>
      <c r="K320" s="19" t="s">
        <v>1</v>
      </c>
      <c r="L320" s="14" t="s">
        <v>0</v>
      </c>
      <c r="M320">
        <v>14</v>
      </c>
      <c r="N320">
        <v>13</v>
      </c>
      <c r="O320">
        <v>9</v>
      </c>
      <c r="P320">
        <v>12</v>
      </c>
      <c r="Q320">
        <v>4</v>
      </c>
      <c r="R320">
        <v>9</v>
      </c>
      <c r="S320">
        <v>3</v>
      </c>
      <c r="T320">
        <v>8</v>
      </c>
      <c r="U320">
        <v>9</v>
      </c>
      <c r="V320">
        <v>0</v>
      </c>
      <c r="W320">
        <v>8</v>
      </c>
      <c r="X320">
        <v>1</v>
      </c>
      <c r="Y320">
        <v>0</v>
      </c>
      <c r="Z320">
        <v>1</v>
      </c>
      <c r="AA320">
        <v>1</v>
      </c>
      <c r="AB320">
        <v>0</v>
      </c>
      <c r="AC320" s="18">
        <f>SUMPRODUCT(OG_Data!D$1:S$1, M320:AB320) /SUM(M320:AB320)</f>
        <v>5.2608695652173916</v>
      </c>
      <c r="AD320">
        <f t="shared" si="46"/>
        <v>92</v>
      </c>
      <c r="AE320">
        <v>4</v>
      </c>
      <c r="AF320">
        <v>7</v>
      </c>
      <c r="AG320">
        <v>25</v>
      </c>
      <c r="AH320">
        <f>Table3[[#This Row],[Flies_per_Vial]]*Table3[[#This Row],[Vials_Total_UsedInMaze]]</f>
        <v>175</v>
      </c>
      <c r="AI320">
        <f>Table3[[#This Row],[total_Flies]]/Table3[[#This Row],[flies_in]]</f>
        <v>0.52571428571428569</v>
      </c>
      <c r="AJ320"/>
      <c r="AK320" s="31">
        <f t="shared" si="44"/>
        <v>9.3333333333333339</v>
      </c>
      <c r="AL320" s="31">
        <f t="shared" si="45"/>
        <v>12.916666666666666</v>
      </c>
      <c r="AM320" s="31">
        <f>Table3[[#This Row],[end_time_num]]-Table3[[#This Row],[start_time_num]]</f>
        <v>3.5833333333333321</v>
      </c>
      <c r="AN320" t="s">
        <v>148</v>
      </c>
    </row>
    <row r="321" spans="1:40" x14ac:dyDescent="0.35">
      <c r="A321">
        <v>18</v>
      </c>
      <c r="B321" s="19">
        <v>1</v>
      </c>
      <c r="C321" s="19" t="s">
        <v>155</v>
      </c>
      <c r="D321" t="s">
        <v>169</v>
      </c>
      <c r="E321" s="2">
        <v>0.55763888888888891</v>
      </c>
      <c r="F321" s="2">
        <v>0.68541666666666667</v>
      </c>
      <c r="G321" s="13">
        <v>0.12777777777777777</v>
      </c>
      <c r="H321" s="20" t="s">
        <v>142</v>
      </c>
      <c r="I321" s="19" t="s">
        <v>6</v>
      </c>
      <c r="J321">
        <v>2</v>
      </c>
      <c r="K321" s="19" t="s">
        <v>4</v>
      </c>
      <c r="L321" s="14" t="s">
        <v>3</v>
      </c>
      <c r="M321">
        <v>16</v>
      </c>
      <c r="N321">
        <v>8</v>
      </c>
      <c r="O321">
        <v>12</v>
      </c>
      <c r="P321">
        <v>12</v>
      </c>
      <c r="Q321">
        <v>5</v>
      </c>
      <c r="R321">
        <v>12</v>
      </c>
      <c r="S321">
        <v>18</v>
      </c>
      <c r="T321">
        <v>11</v>
      </c>
      <c r="U321">
        <v>5</v>
      </c>
      <c r="V321">
        <v>6</v>
      </c>
      <c r="W321">
        <v>3</v>
      </c>
      <c r="X321">
        <v>3</v>
      </c>
      <c r="Y321">
        <v>2</v>
      </c>
      <c r="Z321">
        <v>0</v>
      </c>
      <c r="AA321">
        <v>0</v>
      </c>
      <c r="AB321">
        <v>0</v>
      </c>
      <c r="AC321" s="18">
        <f>SUMPRODUCT(OG_Data!D$1:S$1, M321:AB321) /SUM(M321:AB321)</f>
        <v>5.5486725663716818</v>
      </c>
      <c r="AD321">
        <f t="shared" si="46"/>
        <v>113</v>
      </c>
      <c r="AE321">
        <v>0</v>
      </c>
      <c r="AF321">
        <v>6</v>
      </c>
      <c r="AG321">
        <v>25</v>
      </c>
      <c r="AH321">
        <f>Table3[[#This Row],[Flies_per_Vial]]*Table3[[#This Row],[Vials_Total_UsedInMaze]]</f>
        <v>150</v>
      </c>
      <c r="AI321">
        <f>Table3[[#This Row],[total_Flies]]/Table3[[#This Row],[flies_in]]</f>
        <v>0.7533333333333333</v>
      </c>
      <c r="AJ321"/>
      <c r="AK321" s="31">
        <f t="shared" si="44"/>
        <v>13.383333333333333</v>
      </c>
      <c r="AL321" s="31">
        <f t="shared" si="45"/>
        <v>16.45</v>
      </c>
      <c r="AM321" s="31">
        <f>Table3[[#This Row],[end_time_num]]-Table3[[#This Row],[start_time_num]]</f>
        <v>3.0666666666666664</v>
      </c>
      <c r="AN321" s="19" t="s">
        <v>147</v>
      </c>
    </row>
    <row r="322" spans="1:40" x14ac:dyDescent="0.35">
      <c r="A322">
        <v>18</v>
      </c>
      <c r="B322" s="19">
        <v>1</v>
      </c>
      <c r="C322" s="19" t="s">
        <v>155</v>
      </c>
      <c r="D322" t="s">
        <v>169</v>
      </c>
      <c r="E322" s="2">
        <v>0.55763888888888891</v>
      </c>
      <c r="F322" s="2">
        <v>0.68958333333333333</v>
      </c>
      <c r="G322" s="13">
        <v>0.13194444444444442</v>
      </c>
      <c r="H322" s="20" t="s">
        <v>142</v>
      </c>
      <c r="I322" s="19" t="s">
        <v>6</v>
      </c>
      <c r="J322">
        <v>2</v>
      </c>
      <c r="K322" s="19" t="s">
        <v>2</v>
      </c>
      <c r="L322" s="14" t="s">
        <v>3</v>
      </c>
      <c r="M322">
        <v>24</v>
      </c>
      <c r="N322">
        <v>20</v>
      </c>
      <c r="O322">
        <v>12</v>
      </c>
      <c r="P322">
        <v>4</v>
      </c>
      <c r="Q322">
        <v>3</v>
      </c>
      <c r="R322">
        <v>9</v>
      </c>
      <c r="S322">
        <v>14</v>
      </c>
      <c r="T322">
        <v>3</v>
      </c>
      <c r="U322">
        <v>3</v>
      </c>
      <c r="V322">
        <v>4</v>
      </c>
      <c r="W322">
        <v>1</v>
      </c>
      <c r="X322">
        <v>2</v>
      </c>
      <c r="Y322">
        <v>1</v>
      </c>
      <c r="Z322">
        <v>1</v>
      </c>
      <c r="AA322">
        <v>0</v>
      </c>
      <c r="AB322">
        <v>0</v>
      </c>
      <c r="AC322" s="18">
        <f>SUMPRODUCT(OG_Data!D$1:S$1, M322:AB322) /SUM(M322:AB322)</f>
        <v>4.3168316831683171</v>
      </c>
      <c r="AD322">
        <f t="shared" si="46"/>
        <v>101</v>
      </c>
      <c r="AE322">
        <v>0</v>
      </c>
      <c r="AF322">
        <v>6</v>
      </c>
      <c r="AG322">
        <v>25</v>
      </c>
      <c r="AH322">
        <f>Table3[[#This Row],[Flies_per_Vial]]*Table3[[#This Row],[Vials_Total_UsedInMaze]]</f>
        <v>150</v>
      </c>
      <c r="AI322">
        <f>Table3[[#This Row],[total_Flies]]/Table3[[#This Row],[flies_in]]</f>
        <v>0.67333333333333334</v>
      </c>
      <c r="AJ322"/>
      <c r="AK322" s="31">
        <f t="shared" si="44"/>
        <v>13.383333333333333</v>
      </c>
      <c r="AL322" s="31">
        <f t="shared" si="45"/>
        <v>16.55</v>
      </c>
      <c r="AM322" s="31">
        <f>Table3[[#This Row],[end_time_num]]-Table3[[#This Row],[start_time_num]]</f>
        <v>3.1666666666666679</v>
      </c>
      <c r="AN322" s="19" t="s">
        <v>147</v>
      </c>
    </row>
    <row r="323" spans="1:40" x14ac:dyDescent="0.35">
      <c r="A323">
        <v>18</v>
      </c>
      <c r="B323" s="19">
        <v>1</v>
      </c>
      <c r="C323" s="19" t="s">
        <v>155</v>
      </c>
      <c r="D323" t="s">
        <v>169</v>
      </c>
      <c r="E323" s="2">
        <v>0.55763888888888891</v>
      </c>
      <c r="F323" s="2">
        <v>0.69305555555555554</v>
      </c>
      <c r="G323" s="13">
        <v>0.13541666666666663</v>
      </c>
      <c r="H323" s="20" t="s">
        <v>142</v>
      </c>
      <c r="I323" s="19" t="s">
        <v>6</v>
      </c>
      <c r="J323">
        <v>2</v>
      </c>
      <c r="K323" s="19" t="s">
        <v>1</v>
      </c>
      <c r="L323" s="14" t="s">
        <v>0</v>
      </c>
      <c r="M323">
        <v>37</v>
      </c>
      <c r="N323">
        <v>35</v>
      </c>
      <c r="O323">
        <v>20</v>
      </c>
      <c r="P323">
        <v>21</v>
      </c>
      <c r="Q323">
        <v>9</v>
      </c>
      <c r="R323">
        <v>10</v>
      </c>
      <c r="S323">
        <v>1</v>
      </c>
      <c r="T323">
        <v>16</v>
      </c>
      <c r="U323">
        <v>2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1</v>
      </c>
      <c r="AB323">
        <v>0</v>
      </c>
      <c r="AC323" s="18">
        <f>SUMPRODUCT(OG_Data!D$1:S$1, M323:AB323) /SUM(M323:AB323)</f>
        <v>3.5584415584415585</v>
      </c>
      <c r="AD323">
        <f t="shared" si="46"/>
        <v>154</v>
      </c>
      <c r="AE323">
        <v>2</v>
      </c>
      <c r="AF323">
        <v>7</v>
      </c>
      <c r="AG323">
        <v>25</v>
      </c>
      <c r="AH323">
        <f>Table3[[#This Row],[Flies_per_Vial]]*Table3[[#This Row],[Vials_Total_UsedInMaze]]</f>
        <v>175</v>
      </c>
      <c r="AI323">
        <f>Table3[[#This Row],[total_Flies]]/Table3[[#This Row],[flies_in]]</f>
        <v>0.88</v>
      </c>
      <c r="AJ323"/>
      <c r="AK323" s="31">
        <f t="shared" si="44"/>
        <v>13.383333333333333</v>
      </c>
      <c r="AL323" s="31">
        <f t="shared" si="45"/>
        <v>16.633333333333333</v>
      </c>
      <c r="AM323" s="31">
        <f>Table3[[#This Row],[end_time_num]]-Table3[[#This Row],[start_time_num]]</f>
        <v>3.25</v>
      </c>
      <c r="AN323" s="19" t="s">
        <v>147</v>
      </c>
    </row>
    <row r="324" spans="1:40" x14ac:dyDescent="0.35">
      <c r="A324">
        <v>18</v>
      </c>
      <c r="B324" s="19">
        <v>2</v>
      </c>
      <c r="C324" s="19" t="s">
        <v>154</v>
      </c>
      <c r="D324" t="s">
        <v>170</v>
      </c>
      <c r="E324" s="2">
        <v>0.40972222222222221</v>
      </c>
      <c r="F324" s="2">
        <v>0.52152777777777781</v>
      </c>
      <c r="G324" s="13">
        <v>0.1118055555555556</v>
      </c>
      <c r="H324" s="20" t="s">
        <v>136</v>
      </c>
      <c r="I324" s="19" t="s">
        <v>6</v>
      </c>
      <c r="J324">
        <v>3</v>
      </c>
      <c r="K324" s="19" t="s">
        <v>5</v>
      </c>
      <c r="L324" s="14" t="s">
        <v>0</v>
      </c>
      <c r="M324">
        <v>6</v>
      </c>
      <c r="N324">
        <v>8</v>
      </c>
      <c r="O324">
        <v>6</v>
      </c>
      <c r="P324">
        <v>1</v>
      </c>
      <c r="Q324">
        <v>9</v>
      </c>
      <c r="R324">
        <v>4</v>
      </c>
      <c r="S324">
        <v>15</v>
      </c>
      <c r="T324">
        <v>13</v>
      </c>
      <c r="U324">
        <v>4</v>
      </c>
      <c r="V324">
        <v>0</v>
      </c>
      <c r="W324">
        <v>4</v>
      </c>
      <c r="X324">
        <v>1</v>
      </c>
      <c r="Y324">
        <v>3</v>
      </c>
      <c r="Z324">
        <v>0</v>
      </c>
      <c r="AA324">
        <v>16</v>
      </c>
      <c r="AB324">
        <v>9</v>
      </c>
      <c r="AC324" s="18">
        <f>SUMPRODUCT(OG_Data!D$1:S$1, M324:AB324) /SUM(M324:AB324)</f>
        <v>8.454545454545455</v>
      </c>
      <c r="AD324">
        <f t="shared" si="43"/>
        <v>99</v>
      </c>
      <c r="AE324">
        <v>0</v>
      </c>
      <c r="AF324">
        <v>6</v>
      </c>
      <c r="AG324">
        <v>25</v>
      </c>
      <c r="AH324">
        <f>Table3[[#This Row],[Flies_per_Vial]]*Table3[[#This Row],[Vials_Total_UsedInMaze]]</f>
        <v>150</v>
      </c>
      <c r="AI324">
        <f>Table3[[#This Row],[total_Flies]]/Table3[[#This Row],[flies_in]]</f>
        <v>0.66</v>
      </c>
      <c r="AJ324"/>
      <c r="AK324" s="31">
        <f t="shared" si="44"/>
        <v>9.8333333333333321</v>
      </c>
      <c r="AL324" s="31">
        <f t="shared" si="45"/>
        <v>12.516666666666667</v>
      </c>
      <c r="AM324" s="31">
        <f>Table3[[#This Row],[end_time_num]]-Table3[[#This Row],[start_time_num]]</f>
        <v>2.6833333333333353</v>
      </c>
      <c r="AN324" s="19" t="s">
        <v>147</v>
      </c>
    </row>
    <row r="325" spans="1:40" x14ac:dyDescent="0.35">
      <c r="A325">
        <v>18</v>
      </c>
      <c r="B325" s="19">
        <v>2</v>
      </c>
      <c r="C325" s="19" t="s">
        <v>154</v>
      </c>
      <c r="D325" t="s">
        <v>170</v>
      </c>
      <c r="E325" s="2">
        <v>0.40972222222222221</v>
      </c>
      <c r="F325" s="2">
        <v>0.52500000000000002</v>
      </c>
      <c r="G325" s="13">
        <v>0.11527777777777781</v>
      </c>
      <c r="H325" s="20" t="s">
        <v>136</v>
      </c>
      <c r="I325" s="19" t="s">
        <v>6</v>
      </c>
      <c r="J325">
        <v>3</v>
      </c>
      <c r="K325" s="19" t="s">
        <v>4</v>
      </c>
      <c r="L325" s="14" t="s">
        <v>3</v>
      </c>
      <c r="M325">
        <v>5</v>
      </c>
      <c r="N325">
        <v>8</v>
      </c>
      <c r="O325">
        <v>2</v>
      </c>
      <c r="P325">
        <v>5</v>
      </c>
      <c r="Q325">
        <v>7</v>
      </c>
      <c r="R325">
        <v>4</v>
      </c>
      <c r="S325">
        <v>8</v>
      </c>
      <c r="T325">
        <v>8</v>
      </c>
      <c r="U325">
        <v>3</v>
      </c>
      <c r="V325">
        <v>6</v>
      </c>
      <c r="W325">
        <v>5</v>
      </c>
      <c r="X325">
        <v>5</v>
      </c>
      <c r="Y325">
        <v>5</v>
      </c>
      <c r="Z325">
        <v>3</v>
      </c>
      <c r="AA325">
        <v>2</v>
      </c>
      <c r="AB325">
        <v>0</v>
      </c>
      <c r="AC325" s="18">
        <f>SUMPRODUCT(OG_Data!D$1:S$1, M325:AB325) /SUM(M325:AB325)</f>
        <v>7.4342105263157894</v>
      </c>
      <c r="AD325">
        <f t="shared" si="43"/>
        <v>76</v>
      </c>
      <c r="AE325">
        <v>0</v>
      </c>
      <c r="AF325">
        <v>6</v>
      </c>
      <c r="AG325">
        <v>25</v>
      </c>
      <c r="AH325">
        <f>Table3[[#This Row],[Flies_per_Vial]]*Table3[[#This Row],[Vials_Total_UsedInMaze]]</f>
        <v>150</v>
      </c>
      <c r="AI325">
        <f>Table3[[#This Row],[total_Flies]]/Table3[[#This Row],[flies_in]]</f>
        <v>0.50666666666666671</v>
      </c>
      <c r="AJ325"/>
      <c r="AK325" s="31">
        <f t="shared" si="44"/>
        <v>9.8333333333333321</v>
      </c>
      <c r="AL325" s="31">
        <f t="shared" si="45"/>
        <v>12.600000000000001</v>
      </c>
      <c r="AM325" s="31">
        <f>Table3[[#This Row],[end_time_num]]-Table3[[#This Row],[start_time_num]]</f>
        <v>2.7666666666666693</v>
      </c>
      <c r="AN325" s="19" t="s">
        <v>147</v>
      </c>
    </row>
    <row r="326" spans="1:40" x14ac:dyDescent="0.35">
      <c r="A326">
        <v>18</v>
      </c>
      <c r="B326" s="19">
        <v>2</v>
      </c>
      <c r="C326" s="19" t="s">
        <v>154</v>
      </c>
      <c r="D326" t="s">
        <v>170</v>
      </c>
      <c r="E326" s="2">
        <v>0.40972222222222221</v>
      </c>
      <c r="F326" s="2">
        <v>0.52847222222222223</v>
      </c>
      <c r="G326" s="13">
        <v>0.11875000000000002</v>
      </c>
      <c r="H326" s="20" t="s">
        <v>136</v>
      </c>
      <c r="I326" s="19" t="s">
        <v>6</v>
      </c>
      <c r="J326">
        <v>3</v>
      </c>
      <c r="K326" s="19" t="s">
        <v>2</v>
      </c>
      <c r="L326" s="14" t="s">
        <v>3</v>
      </c>
      <c r="M326">
        <v>8</v>
      </c>
      <c r="N326">
        <v>9</v>
      </c>
      <c r="O326">
        <v>22</v>
      </c>
      <c r="P326">
        <v>2</v>
      </c>
      <c r="Q326">
        <v>5</v>
      </c>
      <c r="R326">
        <v>12</v>
      </c>
      <c r="S326">
        <v>8</v>
      </c>
      <c r="T326">
        <v>9</v>
      </c>
      <c r="U326">
        <v>13</v>
      </c>
      <c r="V326">
        <v>5</v>
      </c>
      <c r="W326">
        <v>5</v>
      </c>
      <c r="X326">
        <v>1</v>
      </c>
      <c r="Y326">
        <v>3</v>
      </c>
      <c r="Z326">
        <v>3</v>
      </c>
      <c r="AA326">
        <v>1</v>
      </c>
      <c r="AB326">
        <v>6</v>
      </c>
      <c r="AC326" s="18">
        <f>SUMPRODUCT(OG_Data!D$1:S$1, M326:AB326) /SUM(M326:AB326)</f>
        <v>6.7053571428571432</v>
      </c>
      <c r="AD326">
        <f t="shared" si="43"/>
        <v>112</v>
      </c>
      <c r="AE326">
        <v>0</v>
      </c>
      <c r="AF326">
        <v>6</v>
      </c>
      <c r="AG326">
        <v>25</v>
      </c>
      <c r="AH326">
        <f>Table3[[#This Row],[Flies_per_Vial]]*Table3[[#This Row],[Vials_Total_UsedInMaze]]</f>
        <v>150</v>
      </c>
      <c r="AI326">
        <f>Table3[[#This Row],[total_Flies]]/Table3[[#This Row],[flies_in]]</f>
        <v>0.7466666666666667</v>
      </c>
      <c r="AJ326"/>
      <c r="AK326" s="31">
        <f t="shared" si="44"/>
        <v>9.8333333333333321</v>
      </c>
      <c r="AL326" s="31">
        <f t="shared" si="45"/>
        <v>12.683333333333334</v>
      </c>
      <c r="AM326" s="31">
        <f>Table3[[#This Row],[end_time_num]]-Table3[[#This Row],[start_time_num]]</f>
        <v>2.8500000000000014</v>
      </c>
      <c r="AN326" s="19" t="s">
        <v>147</v>
      </c>
    </row>
    <row r="327" spans="1:40" x14ac:dyDescent="0.35">
      <c r="A327">
        <v>18</v>
      </c>
      <c r="B327" s="19">
        <v>2</v>
      </c>
      <c r="C327" s="19" t="s">
        <v>154</v>
      </c>
      <c r="D327" t="s">
        <v>170</v>
      </c>
      <c r="E327" s="2">
        <v>0.40972222222222221</v>
      </c>
      <c r="F327" s="2">
        <v>0.53194444444444444</v>
      </c>
      <c r="G327" s="13">
        <v>0.12222222222222223</v>
      </c>
      <c r="H327" s="20" t="s">
        <v>136</v>
      </c>
      <c r="I327" s="19" t="s">
        <v>6</v>
      </c>
      <c r="J327">
        <v>3</v>
      </c>
      <c r="K327" s="19" t="s">
        <v>1</v>
      </c>
      <c r="L327" s="14" t="s">
        <v>0</v>
      </c>
      <c r="M327">
        <v>10</v>
      </c>
      <c r="N327">
        <v>13</v>
      </c>
      <c r="O327">
        <v>9</v>
      </c>
      <c r="P327">
        <v>15</v>
      </c>
      <c r="Q327">
        <v>8</v>
      </c>
      <c r="R327">
        <v>13</v>
      </c>
      <c r="S327">
        <v>6</v>
      </c>
      <c r="T327">
        <v>10</v>
      </c>
      <c r="U327">
        <v>7</v>
      </c>
      <c r="V327">
        <v>0</v>
      </c>
      <c r="W327">
        <v>7</v>
      </c>
      <c r="X327">
        <v>3</v>
      </c>
      <c r="Y327">
        <v>2</v>
      </c>
      <c r="Z327">
        <v>4</v>
      </c>
      <c r="AA327">
        <v>0</v>
      </c>
      <c r="AB327">
        <v>0</v>
      </c>
      <c r="AC327" s="18">
        <f>SUMPRODUCT(OG_Data!D$1:S$1, M327:AB327) /SUM(M327:AB327)</f>
        <v>5.8037383177570092</v>
      </c>
      <c r="AD327">
        <f t="shared" si="43"/>
        <v>107</v>
      </c>
      <c r="AE327">
        <v>0</v>
      </c>
      <c r="AF327">
        <v>6</v>
      </c>
      <c r="AG327">
        <v>25</v>
      </c>
      <c r="AH327">
        <f>Table3[[#This Row],[Flies_per_Vial]]*Table3[[#This Row],[Vials_Total_UsedInMaze]]</f>
        <v>150</v>
      </c>
      <c r="AI327">
        <f>Table3[[#This Row],[total_Flies]]/Table3[[#This Row],[flies_in]]</f>
        <v>0.71333333333333337</v>
      </c>
      <c r="AJ327"/>
      <c r="AK327" s="31">
        <f t="shared" si="44"/>
        <v>9.8333333333333321</v>
      </c>
      <c r="AL327" s="31">
        <f t="shared" si="45"/>
        <v>12.766666666666666</v>
      </c>
      <c r="AM327" s="31">
        <f>Table3[[#This Row],[end_time_num]]-Table3[[#This Row],[start_time_num]]</f>
        <v>2.9333333333333336</v>
      </c>
      <c r="AN327" s="19" t="s">
        <v>147</v>
      </c>
    </row>
    <row r="328" spans="1:40" x14ac:dyDescent="0.35">
      <c r="A328">
        <v>18</v>
      </c>
      <c r="B328" s="19">
        <v>2</v>
      </c>
      <c r="C328" s="19" t="s">
        <v>155</v>
      </c>
      <c r="D328" t="s">
        <v>170</v>
      </c>
      <c r="E328" s="2">
        <v>0.55972222222222223</v>
      </c>
      <c r="F328" s="2">
        <v>0.6875</v>
      </c>
      <c r="G328" s="13">
        <v>0.12777777777777777</v>
      </c>
      <c r="H328" s="20" t="s">
        <v>142</v>
      </c>
      <c r="I328" s="19" t="s">
        <v>6</v>
      </c>
      <c r="J328">
        <v>4</v>
      </c>
      <c r="K328" s="19" t="s">
        <v>5</v>
      </c>
      <c r="L328" s="14" t="s">
        <v>0</v>
      </c>
      <c r="M328">
        <v>17</v>
      </c>
      <c r="N328">
        <v>9</v>
      </c>
      <c r="O328">
        <v>16</v>
      </c>
      <c r="P328">
        <v>10</v>
      </c>
      <c r="Q328">
        <v>24</v>
      </c>
      <c r="R328">
        <v>8</v>
      </c>
      <c r="S328">
        <v>17</v>
      </c>
      <c r="T328">
        <v>7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2</v>
      </c>
      <c r="AB328">
        <v>1</v>
      </c>
      <c r="AC328" s="18">
        <f>SUMPRODUCT(OG_Data!D$1:S$1, M328:AB328) /SUM(M328:AB328)</f>
        <v>4.7256637168141591</v>
      </c>
      <c r="AD328">
        <f t="shared" si="43"/>
        <v>113</v>
      </c>
      <c r="AE328">
        <v>0</v>
      </c>
      <c r="AF328">
        <v>6</v>
      </c>
      <c r="AG328">
        <v>25</v>
      </c>
      <c r="AH328">
        <f>Table3[[#This Row],[Flies_per_Vial]]*Table3[[#This Row],[Vials_Total_UsedInMaze]]</f>
        <v>150</v>
      </c>
      <c r="AI328">
        <f>Table3[[#This Row],[total_Flies]]/Table3[[#This Row],[flies_in]]</f>
        <v>0.7533333333333333</v>
      </c>
      <c r="AJ328"/>
      <c r="AK328" s="31">
        <f t="shared" si="44"/>
        <v>13.433333333333334</v>
      </c>
      <c r="AL328" s="31">
        <f t="shared" si="45"/>
        <v>16.5</v>
      </c>
      <c r="AM328" s="31">
        <f>Table3[[#This Row],[end_time_num]]-Table3[[#This Row],[start_time_num]]</f>
        <v>3.0666666666666664</v>
      </c>
      <c r="AN328" s="19" t="s">
        <v>147</v>
      </c>
    </row>
    <row r="329" spans="1:40" x14ac:dyDescent="0.35">
      <c r="A329">
        <v>18</v>
      </c>
      <c r="B329" s="19">
        <v>2</v>
      </c>
      <c r="C329" s="19" t="s">
        <v>155</v>
      </c>
      <c r="D329" t="s">
        <v>170</v>
      </c>
      <c r="E329" s="2">
        <v>0.55972222222222223</v>
      </c>
      <c r="F329" s="2">
        <v>0.69097222222222221</v>
      </c>
      <c r="G329" s="13">
        <v>0.13124999999999998</v>
      </c>
      <c r="H329" s="20" t="s">
        <v>142</v>
      </c>
      <c r="I329" s="19" t="s">
        <v>6</v>
      </c>
      <c r="J329">
        <v>4</v>
      </c>
      <c r="K329" s="19" t="s">
        <v>4</v>
      </c>
      <c r="L329" s="14" t="s">
        <v>3</v>
      </c>
      <c r="M329">
        <v>5</v>
      </c>
      <c r="N329">
        <v>2</v>
      </c>
      <c r="O329">
        <v>1</v>
      </c>
      <c r="P329">
        <v>8</v>
      </c>
      <c r="Q329">
        <v>3</v>
      </c>
      <c r="R329">
        <v>9</v>
      </c>
      <c r="S329">
        <v>12</v>
      </c>
      <c r="T329">
        <v>5</v>
      </c>
      <c r="U329">
        <v>3</v>
      </c>
      <c r="V329">
        <v>1</v>
      </c>
      <c r="W329">
        <v>1</v>
      </c>
      <c r="X329">
        <v>2</v>
      </c>
      <c r="Y329">
        <v>0</v>
      </c>
      <c r="Z329">
        <v>3</v>
      </c>
      <c r="AA329">
        <v>0</v>
      </c>
      <c r="AB329">
        <v>0</v>
      </c>
      <c r="AC329" s="18">
        <f>SUMPRODUCT(OG_Data!D$1:S$1, M329:AB329) /SUM(M329:AB329)</f>
        <v>6.3818181818181818</v>
      </c>
      <c r="AD329">
        <f t="shared" si="43"/>
        <v>55</v>
      </c>
      <c r="AE329">
        <v>0</v>
      </c>
      <c r="AF329">
        <v>6</v>
      </c>
      <c r="AG329">
        <v>25</v>
      </c>
      <c r="AH329">
        <f>Table3[[#This Row],[Flies_per_Vial]]*Table3[[#This Row],[Vials_Total_UsedInMaze]]</f>
        <v>150</v>
      </c>
      <c r="AI329">
        <f>Table3[[#This Row],[total_Flies]]/Table3[[#This Row],[flies_in]]</f>
        <v>0.36666666666666664</v>
      </c>
      <c r="AJ329"/>
      <c r="AK329" s="31">
        <f t="shared" si="44"/>
        <v>13.433333333333334</v>
      </c>
      <c r="AL329" s="31">
        <f t="shared" si="45"/>
        <v>16.583333333333332</v>
      </c>
      <c r="AM329" s="31">
        <f>Table3[[#This Row],[end_time_num]]-Table3[[#This Row],[start_time_num]]</f>
        <v>3.1499999999999986</v>
      </c>
      <c r="AN329" s="19" t="s">
        <v>147</v>
      </c>
    </row>
    <row r="330" spans="1:40" x14ac:dyDescent="0.35">
      <c r="A330">
        <v>18</v>
      </c>
      <c r="B330" s="19">
        <v>2</v>
      </c>
      <c r="C330" s="19" t="s">
        <v>155</v>
      </c>
      <c r="D330" t="s">
        <v>170</v>
      </c>
      <c r="E330" s="2">
        <v>0.55972222222222223</v>
      </c>
      <c r="F330" s="2">
        <v>0.6958333333333333</v>
      </c>
      <c r="G330" s="13">
        <v>0.13611111111111107</v>
      </c>
      <c r="H330" s="20" t="s">
        <v>142</v>
      </c>
      <c r="I330" s="19" t="s">
        <v>6</v>
      </c>
      <c r="J330">
        <v>4</v>
      </c>
      <c r="K330" s="19" t="s">
        <v>2</v>
      </c>
      <c r="L330" s="14" t="s">
        <v>3</v>
      </c>
      <c r="M330">
        <v>5</v>
      </c>
      <c r="N330">
        <v>2</v>
      </c>
      <c r="O330">
        <v>1</v>
      </c>
      <c r="P330">
        <v>8</v>
      </c>
      <c r="Q330">
        <v>3</v>
      </c>
      <c r="R330">
        <v>9</v>
      </c>
      <c r="S330">
        <v>12</v>
      </c>
      <c r="T330">
        <v>5</v>
      </c>
      <c r="U330">
        <v>3</v>
      </c>
      <c r="V330">
        <v>1</v>
      </c>
      <c r="W330">
        <v>1</v>
      </c>
      <c r="X330">
        <v>2</v>
      </c>
      <c r="Y330">
        <v>0</v>
      </c>
      <c r="Z330">
        <v>3</v>
      </c>
      <c r="AA330">
        <v>0</v>
      </c>
      <c r="AB330">
        <v>0</v>
      </c>
      <c r="AC330" s="18">
        <f>SUMPRODUCT(OG_Data!D$1:S$1, M330:AB330) /SUM(M330:AB330)</f>
        <v>6.3818181818181818</v>
      </c>
      <c r="AD330">
        <f t="shared" si="43"/>
        <v>55</v>
      </c>
      <c r="AE330">
        <v>0</v>
      </c>
      <c r="AF330">
        <v>6</v>
      </c>
      <c r="AG330">
        <v>25</v>
      </c>
      <c r="AH330">
        <f>Table3[[#This Row],[Flies_per_Vial]]*Table3[[#This Row],[Vials_Total_UsedInMaze]]</f>
        <v>150</v>
      </c>
      <c r="AI330">
        <f>Table3[[#This Row],[total_Flies]]/Table3[[#This Row],[flies_in]]</f>
        <v>0.36666666666666664</v>
      </c>
      <c r="AJ330"/>
      <c r="AK330" s="31">
        <f t="shared" si="44"/>
        <v>13.433333333333334</v>
      </c>
      <c r="AL330" s="31">
        <f t="shared" si="45"/>
        <v>16.7</v>
      </c>
      <c r="AM330" s="31">
        <f>Table3[[#This Row],[end_time_num]]-Table3[[#This Row],[start_time_num]]</f>
        <v>3.2666666666666657</v>
      </c>
      <c r="AN330" s="19" t="s">
        <v>147</v>
      </c>
    </row>
    <row r="331" spans="1:40" x14ac:dyDescent="0.35">
      <c r="A331">
        <v>18</v>
      </c>
      <c r="B331" s="19">
        <v>2</v>
      </c>
      <c r="C331" s="19" t="s">
        <v>155</v>
      </c>
      <c r="D331" t="s">
        <v>170</v>
      </c>
      <c r="E331" s="2">
        <v>0.55972222222222223</v>
      </c>
      <c r="F331" s="2">
        <v>0.69861111111111107</v>
      </c>
      <c r="G331" s="13">
        <v>0.13888888888888884</v>
      </c>
      <c r="H331" s="20" t="s">
        <v>142</v>
      </c>
      <c r="I331" s="19" t="s">
        <v>6</v>
      </c>
      <c r="J331">
        <v>4</v>
      </c>
      <c r="K331" s="19" t="s">
        <v>1</v>
      </c>
      <c r="L331" s="14" t="s">
        <v>0</v>
      </c>
      <c r="M331">
        <v>45</v>
      </c>
      <c r="N331">
        <v>37</v>
      </c>
      <c r="O331">
        <v>14</v>
      </c>
      <c r="P331">
        <v>10</v>
      </c>
      <c r="Q331">
        <v>9</v>
      </c>
      <c r="R331">
        <v>3</v>
      </c>
      <c r="S331">
        <v>3</v>
      </c>
      <c r="T331">
        <v>3</v>
      </c>
      <c r="U331">
        <v>2</v>
      </c>
      <c r="V331">
        <v>0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 s="18">
        <f>SUMPRODUCT(OG_Data!D$1:S$1, M331:AB331) /SUM(M331:AB331)</f>
        <v>2.8139534883720931</v>
      </c>
      <c r="AD331">
        <f t="shared" si="43"/>
        <v>129</v>
      </c>
      <c r="AE331">
        <v>0</v>
      </c>
      <c r="AF331">
        <v>6</v>
      </c>
      <c r="AG331">
        <v>25</v>
      </c>
      <c r="AH331">
        <f>Table3[[#This Row],[Flies_per_Vial]]*Table3[[#This Row],[Vials_Total_UsedInMaze]]</f>
        <v>150</v>
      </c>
      <c r="AI331">
        <f>Table3[[#This Row],[total_Flies]]/Table3[[#This Row],[flies_in]]</f>
        <v>0.86</v>
      </c>
      <c r="AJ331"/>
      <c r="AK331" s="31">
        <f t="shared" si="44"/>
        <v>13.433333333333334</v>
      </c>
      <c r="AL331" s="31">
        <f t="shared" si="45"/>
        <v>16.766666666666666</v>
      </c>
      <c r="AM331" s="31">
        <f>Table3[[#This Row],[end_time_num]]-Table3[[#This Row],[start_time_num]]</f>
        <v>3.3333333333333321</v>
      </c>
      <c r="AN331" s="19" t="s">
        <v>147</v>
      </c>
    </row>
    <row r="332" spans="1:40" x14ac:dyDescent="0.35">
      <c r="A332">
        <v>19</v>
      </c>
      <c r="B332" s="19">
        <v>1</v>
      </c>
      <c r="C332" s="19" t="s">
        <v>154</v>
      </c>
      <c r="D332" t="s">
        <v>171</v>
      </c>
      <c r="E332" s="2">
        <v>0.40763888888888888</v>
      </c>
      <c r="F332" s="2">
        <v>0.54166666666666663</v>
      </c>
      <c r="G332" s="13">
        <v>0.13402777777777775</v>
      </c>
      <c r="H332" s="20" t="s">
        <v>136</v>
      </c>
      <c r="I332" s="19" t="s">
        <v>6</v>
      </c>
      <c r="J332">
        <v>2</v>
      </c>
      <c r="K332" s="19" t="s">
        <v>5</v>
      </c>
      <c r="L332" s="14" t="s">
        <v>3</v>
      </c>
      <c r="M332">
        <v>8</v>
      </c>
      <c r="N332">
        <v>6</v>
      </c>
      <c r="O332">
        <v>4</v>
      </c>
      <c r="P332">
        <v>5</v>
      </c>
      <c r="Q332">
        <v>4</v>
      </c>
      <c r="R332">
        <v>5</v>
      </c>
      <c r="S332">
        <v>1</v>
      </c>
      <c r="T332">
        <v>3</v>
      </c>
      <c r="U332">
        <v>5</v>
      </c>
      <c r="V332">
        <v>4</v>
      </c>
      <c r="W332">
        <v>8</v>
      </c>
      <c r="X332">
        <v>4</v>
      </c>
      <c r="Y332">
        <v>2</v>
      </c>
      <c r="Z332">
        <v>6</v>
      </c>
      <c r="AA332">
        <v>17</v>
      </c>
      <c r="AB332">
        <v>11</v>
      </c>
      <c r="AC332" s="18">
        <f>SUMPRODUCT(OG_Data!D$1:S$1, M332:AB332) /SUM(M332:AB332)</f>
        <v>9.6236559139784941</v>
      </c>
      <c r="AD332">
        <f t="shared" ref="AD332:AD363" si="47">SUM(M332:AB332)</f>
        <v>93</v>
      </c>
      <c r="AE332">
        <v>0</v>
      </c>
      <c r="AF332">
        <v>6</v>
      </c>
      <c r="AG332">
        <v>25</v>
      </c>
      <c r="AH332">
        <f>Table3[[#This Row],[Flies_per_Vial]]*Table3[[#This Row],[Vials_Total_UsedInMaze]]</f>
        <v>150</v>
      </c>
      <c r="AI332">
        <f>Table3[[#This Row],[total_Flies]]/Table3[[#This Row],[flies_in]]</f>
        <v>0.62</v>
      </c>
      <c r="AJ332">
        <v>0</v>
      </c>
      <c r="AK332" s="31">
        <f t="shared" ref="AK332:AK363" si="48">24*E332</f>
        <v>9.7833333333333332</v>
      </c>
      <c r="AL332" s="31">
        <f t="shared" ref="AL332:AL363" si="49">24*F332</f>
        <v>13</v>
      </c>
      <c r="AM332" s="31">
        <f>Table3[[#This Row],[end_time_num]]-Table3[[#This Row],[start_time_num]]</f>
        <v>3.2166666666666668</v>
      </c>
      <c r="AN332" s="19" t="s">
        <v>147</v>
      </c>
    </row>
    <row r="333" spans="1:40" x14ac:dyDescent="0.35">
      <c r="A333">
        <v>19</v>
      </c>
      <c r="B333" s="19">
        <v>1</v>
      </c>
      <c r="C333" s="19" t="s">
        <v>154</v>
      </c>
      <c r="D333" t="s">
        <v>171</v>
      </c>
      <c r="E333" s="2">
        <v>0.40763888888888888</v>
      </c>
      <c r="F333" s="2">
        <v>0.54513888888888884</v>
      </c>
      <c r="G333" s="13">
        <v>0.13749999999999996</v>
      </c>
      <c r="H333" s="20" t="s">
        <v>136</v>
      </c>
      <c r="I333" s="19" t="s">
        <v>6</v>
      </c>
      <c r="J333">
        <v>2</v>
      </c>
      <c r="K333" s="19" t="s">
        <v>4</v>
      </c>
      <c r="L333" s="14" t="s">
        <v>0</v>
      </c>
      <c r="M333">
        <v>14</v>
      </c>
      <c r="N333">
        <v>6</v>
      </c>
      <c r="O333">
        <v>9</v>
      </c>
      <c r="P333">
        <v>6</v>
      </c>
      <c r="Q333">
        <v>6</v>
      </c>
      <c r="R333">
        <v>8</v>
      </c>
      <c r="S333">
        <v>26</v>
      </c>
      <c r="T333">
        <v>13</v>
      </c>
      <c r="U333">
        <v>2</v>
      </c>
      <c r="V333">
        <v>4</v>
      </c>
      <c r="W333">
        <v>2</v>
      </c>
      <c r="X333">
        <v>1</v>
      </c>
      <c r="Y333">
        <v>0</v>
      </c>
      <c r="Z333">
        <v>1</v>
      </c>
      <c r="AA333">
        <v>1</v>
      </c>
      <c r="AB333">
        <v>1</v>
      </c>
      <c r="AC333" s="18">
        <f>SUMPRODUCT(OG_Data!D$1:S$1, M333:AB333) /SUM(M333:AB333)</f>
        <v>5.78</v>
      </c>
      <c r="AD333">
        <f t="shared" si="47"/>
        <v>100</v>
      </c>
      <c r="AE333">
        <v>0</v>
      </c>
      <c r="AF333">
        <v>6</v>
      </c>
      <c r="AG333">
        <v>25</v>
      </c>
      <c r="AH333">
        <f>Table3[[#This Row],[Flies_per_Vial]]*Table3[[#This Row],[Vials_Total_UsedInMaze]]</f>
        <v>150</v>
      </c>
      <c r="AI333">
        <f>Table3[[#This Row],[total_Flies]]/Table3[[#This Row],[flies_in]]</f>
        <v>0.66666666666666663</v>
      </c>
      <c r="AJ333">
        <v>0</v>
      </c>
      <c r="AK333" s="31">
        <f t="shared" si="48"/>
        <v>9.7833333333333332</v>
      </c>
      <c r="AL333" s="31">
        <f t="shared" si="49"/>
        <v>13.083333333333332</v>
      </c>
      <c r="AM333" s="31">
        <f>Table3[[#This Row],[end_time_num]]-Table3[[#This Row],[start_time_num]]</f>
        <v>3.2999999999999989</v>
      </c>
      <c r="AN333" s="19" t="s">
        <v>147</v>
      </c>
    </row>
    <row r="334" spans="1:40" x14ac:dyDescent="0.35">
      <c r="A334">
        <v>19</v>
      </c>
      <c r="B334" s="19">
        <v>1</v>
      </c>
      <c r="C334" s="19" t="s">
        <v>154</v>
      </c>
      <c r="D334" t="s">
        <v>171</v>
      </c>
      <c r="E334" s="2">
        <v>0.40763888888888888</v>
      </c>
      <c r="F334" s="2">
        <v>0.54861111111111116</v>
      </c>
      <c r="G334" s="13">
        <v>0.14097222222222228</v>
      </c>
      <c r="H334" s="20" t="s">
        <v>136</v>
      </c>
      <c r="I334" s="19" t="s">
        <v>6</v>
      </c>
      <c r="J334">
        <v>2</v>
      </c>
      <c r="K334" s="19" t="s">
        <v>2</v>
      </c>
      <c r="L334" s="14" t="s">
        <v>0</v>
      </c>
      <c r="M334">
        <v>7</v>
      </c>
      <c r="N334">
        <v>12</v>
      </c>
      <c r="O334">
        <v>11</v>
      </c>
      <c r="P334">
        <v>3</v>
      </c>
      <c r="Q334">
        <v>1</v>
      </c>
      <c r="R334">
        <v>9</v>
      </c>
      <c r="S334">
        <v>2</v>
      </c>
      <c r="T334">
        <v>3</v>
      </c>
      <c r="U334">
        <v>10</v>
      </c>
      <c r="V334">
        <v>1</v>
      </c>
      <c r="W334">
        <v>2</v>
      </c>
      <c r="X334">
        <v>0</v>
      </c>
      <c r="Y334">
        <v>0</v>
      </c>
      <c r="Z334">
        <v>1</v>
      </c>
      <c r="AA334">
        <v>0</v>
      </c>
      <c r="AB334">
        <v>0</v>
      </c>
      <c r="AC334" s="18">
        <f>SUMPRODUCT(OG_Data!D$1:S$1, M334:AB334) /SUM(M334:AB334)</f>
        <v>4.9838709677419351</v>
      </c>
      <c r="AD334">
        <f t="shared" si="47"/>
        <v>62</v>
      </c>
      <c r="AE334">
        <v>0</v>
      </c>
      <c r="AF334">
        <v>3</v>
      </c>
      <c r="AG334">
        <v>25</v>
      </c>
      <c r="AH334">
        <f>Table3[[#This Row],[Flies_per_Vial]]*Table3[[#This Row],[Vials_Total_UsedInMaze]]</f>
        <v>75</v>
      </c>
      <c r="AI334">
        <f>Table3[[#This Row],[total_Flies]]/Table3[[#This Row],[flies_in]]</f>
        <v>0.82666666666666666</v>
      </c>
      <c r="AJ334">
        <v>0</v>
      </c>
      <c r="AK334" s="31">
        <f t="shared" si="48"/>
        <v>9.7833333333333332</v>
      </c>
      <c r="AL334" s="31">
        <f t="shared" si="49"/>
        <v>13.166666666666668</v>
      </c>
      <c r="AM334" s="31">
        <f>Table3[[#This Row],[end_time_num]]-Table3[[#This Row],[start_time_num]]</f>
        <v>3.3833333333333346</v>
      </c>
      <c r="AN334" s="19" t="s">
        <v>147</v>
      </c>
    </row>
    <row r="335" spans="1:40" x14ac:dyDescent="0.35">
      <c r="A335">
        <v>19</v>
      </c>
      <c r="B335" s="19">
        <v>1</v>
      </c>
      <c r="C335" s="19" t="s">
        <v>154</v>
      </c>
      <c r="D335" t="s">
        <v>171</v>
      </c>
      <c r="E335" s="2">
        <v>0.40763888888888888</v>
      </c>
      <c r="F335" s="2">
        <v>0.55208333333333337</v>
      </c>
      <c r="G335" s="13">
        <v>0.14444444444444449</v>
      </c>
      <c r="H335" s="20" t="s">
        <v>136</v>
      </c>
      <c r="I335" s="19" t="s">
        <v>6</v>
      </c>
      <c r="J335">
        <v>2</v>
      </c>
      <c r="K335" s="19" t="s">
        <v>1</v>
      </c>
      <c r="L335" s="14" t="s">
        <v>3</v>
      </c>
      <c r="M335">
        <v>14</v>
      </c>
      <c r="N335">
        <v>12</v>
      </c>
      <c r="O335">
        <v>11</v>
      </c>
      <c r="P335">
        <v>11</v>
      </c>
      <c r="Q335">
        <v>10</v>
      </c>
      <c r="R335">
        <v>13</v>
      </c>
      <c r="S335">
        <v>4</v>
      </c>
      <c r="T335">
        <v>7</v>
      </c>
      <c r="U335">
        <v>6</v>
      </c>
      <c r="V335">
        <v>0</v>
      </c>
      <c r="W335">
        <v>5</v>
      </c>
      <c r="X335">
        <v>0</v>
      </c>
      <c r="Y335">
        <v>2</v>
      </c>
      <c r="Z335">
        <v>0</v>
      </c>
      <c r="AA335">
        <v>0</v>
      </c>
      <c r="AB335">
        <v>1</v>
      </c>
      <c r="AC335" s="18">
        <f>SUMPRODUCT(OG_Data!D$1:S$1, M335:AB335) /SUM(M335:AB335)</f>
        <v>4.979166666666667</v>
      </c>
      <c r="AD335">
        <f t="shared" si="47"/>
        <v>96</v>
      </c>
      <c r="AE335">
        <v>0</v>
      </c>
      <c r="AF335">
        <v>6</v>
      </c>
      <c r="AG335">
        <v>25</v>
      </c>
      <c r="AH335">
        <f>Table3[[#This Row],[Flies_per_Vial]]*Table3[[#This Row],[Vials_Total_UsedInMaze]]</f>
        <v>150</v>
      </c>
      <c r="AI335">
        <f>Table3[[#This Row],[total_Flies]]/Table3[[#This Row],[flies_in]]</f>
        <v>0.64</v>
      </c>
      <c r="AJ335">
        <v>0</v>
      </c>
      <c r="AK335" s="31">
        <f t="shared" si="48"/>
        <v>9.7833333333333332</v>
      </c>
      <c r="AL335" s="31">
        <f t="shared" si="49"/>
        <v>13.25</v>
      </c>
      <c r="AM335" s="31">
        <f>Table3[[#This Row],[end_time_num]]-Table3[[#This Row],[start_time_num]]</f>
        <v>3.4666666666666668</v>
      </c>
      <c r="AN335" s="19" t="s">
        <v>147</v>
      </c>
    </row>
    <row r="336" spans="1:40" x14ac:dyDescent="0.35">
      <c r="A336">
        <v>19</v>
      </c>
      <c r="B336" s="19">
        <v>1</v>
      </c>
      <c r="C336" s="19" t="s">
        <v>155</v>
      </c>
      <c r="D336" t="s">
        <v>171</v>
      </c>
      <c r="E336" s="2">
        <v>0.56597222222222221</v>
      </c>
      <c r="F336" s="2">
        <v>0.7104166666666667</v>
      </c>
      <c r="G336" s="13">
        <v>0.14444444444444449</v>
      </c>
      <c r="H336" s="20" t="s">
        <v>142</v>
      </c>
      <c r="I336" s="19" t="s">
        <v>6</v>
      </c>
      <c r="J336">
        <v>1</v>
      </c>
      <c r="K336" s="19" t="s">
        <v>5</v>
      </c>
      <c r="L336" s="14" t="s">
        <v>3</v>
      </c>
      <c r="M336">
        <v>9</v>
      </c>
      <c r="N336">
        <v>5</v>
      </c>
      <c r="O336">
        <v>10</v>
      </c>
      <c r="P336">
        <v>4</v>
      </c>
      <c r="Q336">
        <v>22</v>
      </c>
      <c r="R336">
        <v>5</v>
      </c>
      <c r="S336">
        <v>4</v>
      </c>
      <c r="T336">
        <v>3</v>
      </c>
      <c r="U336">
        <v>5</v>
      </c>
      <c r="V336">
        <v>2</v>
      </c>
      <c r="W336">
        <v>4</v>
      </c>
      <c r="X336">
        <v>1</v>
      </c>
      <c r="Y336">
        <v>3</v>
      </c>
      <c r="Z336">
        <v>5</v>
      </c>
      <c r="AA336">
        <v>18</v>
      </c>
      <c r="AB336">
        <v>5</v>
      </c>
      <c r="AC336" s="18">
        <f>SUMPRODUCT(OG_Data!D$1:S$1, M336:AB336) /SUM(M336:AB336)</f>
        <v>7.9714285714285715</v>
      </c>
      <c r="AD336">
        <f t="shared" si="47"/>
        <v>105</v>
      </c>
      <c r="AE336">
        <v>0</v>
      </c>
      <c r="AF336">
        <v>6</v>
      </c>
      <c r="AG336">
        <v>25</v>
      </c>
      <c r="AH336">
        <f>Table3[[#This Row],[Flies_per_Vial]]*Table3[[#This Row],[Vials_Total_UsedInMaze]]</f>
        <v>150</v>
      </c>
      <c r="AI336">
        <f>Table3[[#This Row],[total_Flies]]/Table3[[#This Row],[flies_in]]</f>
        <v>0.7</v>
      </c>
      <c r="AJ336">
        <v>0</v>
      </c>
      <c r="AK336" s="31">
        <f t="shared" si="48"/>
        <v>13.583333333333332</v>
      </c>
      <c r="AL336" s="31">
        <f t="shared" si="49"/>
        <v>17.05</v>
      </c>
      <c r="AM336" s="31">
        <f>Table3[[#This Row],[end_time_num]]-Table3[[#This Row],[start_time_num]]</f>
        <v>3.4666666666666686</v>
      </c>
      <c r="AN336" s="19" t="s">
        <v>147</v>
      </c>
    </row>
    <row r="337" spans="1:40" x14ac:dyDescent="0.35">
      <c r="A337">
        <v>19</v>
      </c>
      <c r="B337" s="19">
        <v>1</v>
      </c>
      <c r="C337" s="19" t="s">
        <v>155</v>
      </c>
      <c r="D337" t="s">
        <v>171</v>
      </c>
      <c r="E337" s="2">
        <v>0.56597222222222221</v>
      </c>
      <c r="F337" s="2">
        <v>0.71527777777777779</v>
      </c>
      <c r="G337" s="13">
        <v>0.14930555555555558</v>
      </c>
      <c r="H337" s="20" t="s">
        <v>142</v>
      </c>
      <c r="I337" s="19" t="s">
        <v>6</v>
      </c>
      <c r="J337">
        <v>1</v>
      </c>
      <c r="K337" s="19" t="s">
        <v>4</v>
      </c>
      <c r="L337" s="14" t="s">
        <v>0</v>
      </c>
      <c r="M337">
        <v>9</v>
      </c>
      <c r="N337">
        <v>4</v>
      </c>
      <c r="O337">
        <v>3</v>
      </c>
      <c r="P337">
        <v>12</v>
      </c>
      <c r="Q337">
        <v>7</v>
      </c>
      <c r="R337">
        <v>17</v>
      </c>
      <c r="S337">
        <v>19</v>
      </c>
      <c r="T337">
        <v>16</v>
      </c>
      <c r="U337">
        <v>5</v>
      </c>
      <c r="V337">
        <v>4</v>
      </c>
      <c r="W337">
        <v>2</v>
      </c>
      <c r="X337">
        <v>0</v>
      </c>
      <c r="Y337">
        <v>1</v>
      </c>
      <c r="Z337">
        <v>1</v>
      </c>
      <c r="AA337">
        <v>0</v>
      </c>
      <c r="AB337">
        <v>0</v>
      </c>
      <c r="AC337" s="18">
        <f>SUMPRODUCT(OG_Data!D$1:S$1, M337:AB337) /SUM(M337:AB337)</f>
        <v>6.06</v>
      </c>
      <c r="AD337">
        <f t="shared" si="47"/>
        <v>100</v>
      </c>
      <c r="AE337">
        <v>0</v>
      </c>
      <c r="AF337">
        <v>5</v>
      </c>
      <c r="AG337">
        <v>25</v>
      </c>
      <c r="AH337">
        <f>Table3[[#This Row],[Flies_per_Vial]]*Table3[[#This Row],[Vials_Total_UsedInMaze]]</f>
        <v>125</v>
      </c>
      <c r="AI337">
        <f>Table3[[#This Row],[total_Flies]]/Table3[[#This Row],[flies_in]]</f>
        <v>0.8</v>
      </c>
      <c r="AJ337">
        <v>0</v>
      </c>
      <c r="AK337" s="31">
        <f t="shared" si="48"/>
        <v>13.583333333333332</v>
      </c>
      <c r="AL337" s="31">
        <f t="shared" si="49"/>
        <v>17.166666666666668</v>
      </c>
      <c r="AM337" s="31">
        <f>Table3[[#This Row],[end_time_num]]-Table3[[#This Row],[start_time_num]]</f>
        <v>3.5833333333333357</v>
      </c>
      <c r="AN337" s="19" t="s">
        <v>147</v>
      </c>
    </row>
    <row r="338" spans="1:40" x14ac:dyDescent="0.35">
      <c r="A338">
        <v>19</v>
      </c>
      <c r="B338" s="19">
        <v>1</v>
      </c>
      <c r="C338" s="19" t="s">
        <v>155</v>
      </c>
      <c r="D338" t="s">
        <v>171</v>
      </c>
      <c r="E338" s="2">
        <v>0.56597222222222221</v>
      </c>
      <c r="F338" s="2">
        <v>0.71944444444444444</v>
      </c>
      <c r="G338" s="13">
        <v>0.15347222222222223</v>
      </c>
      <c r="H338" s="20" t="s">
        <v>142</v>
      </c>
      <c r="I338" s="19" t="s">
        <v>6</v>
      </c>
      <c r="J338">
        <v>1</v>
      </c>
      <c r="K338" s="19" t="s">
        <v>2</v>
      </c>
      <c r="L338" s="14" t="s">
        <v>0</v>
      </c>
      <c r="M338">
        <v>13</v>
      </c>
      <c r="N338">
        <v>16</v>
      </c>
      <c r="O338">
        <v>24</v>
      </c>
      <c r="P338">
        <v>4</v>
      </c>
      <c r="Q338">
        <v>5</v>
      </c>
      <c r="R338">
        <v>13</v>
      </c>
      <c r="S338">
        <v>5</v>
      </c>
      <c r="T338">
        <v>1</v>
      </c>
      <c r="U338">
        <v>10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s="18">
        <f>SUMPRODUCT(OG_Data!D$1:S$1, M338:AB338) /SUM(M338:AB338)</f>
        <v>4.0549450549450547</v>
      </c>
      <c r="AD338">
        <f t="shared" si="47"/>
        <v>91</v>
      </c>
      <c r="AE338">
        <v>0</v>
      </c>
      <c r="AF338">
        <v>4</v>
      </c>
      <c r="AG338">
        <v>25</v>
      </c>
      <c r="AH338">
        <f>Table3[[#This Row],[Flies_per_Vial]]*Table3[[#This Row],[Vials_Total_UsedInMaze]]</f>
        <v>100</v>
      </c>
      <c r="AI338">
        <f>Table3[[#This Row],[total_Flies]]/Table3[[#This Row],[flies_in]]</f>
        <v>0.91</v>
      </c>
      <c r="AJ338">
        <v>0</v>
      </c>
      <c r="AK338" s="31">
        <f t="shared" si="48"/>
        <v>13.583333333333332</v>
      </c>
      <c r="AL338" s="31">
        <f t="shared" si="49"/>
        <v>17.266666666666666</v>
      </c>
      <c r="AM338" s="31">
        <f>Table3[[#This Row],[end_time_num]]-Table3[[#This Row],[start_time_num]]</f>
        <v>3.6833333333333336</v>
      </c>
      <c r="AN338" s="19" t="s">
        <v>147</v>
      </c>
    </row>
    <row r="339" spans="1:40" x14ac:dyDescent="0.35">
      <c r="A339">
        <v>19</v>
      </c>
      <c r="B339" s="19">
        <v>1</v>
      </c>
      <c r="C339" s="19" t="s">
        <v>155</v>
      </c>
      <c r="D339" t="s">
        <v>171</v>
      </c>
      <c r="E339" s="2">
        <v>0.56597222222222221</v>
      </c>
      <c r="F339" s="2">
        <v>0.72222222222222221</v>
      </c>
      <c r="G339" s="13">
        <v>0.15625</v>
      </c>
      <c r="H339" s="20" t="s">
        <v>142</v>
      </c>
      <c r="I339" s="19" t="s">
        <v>6</v>
      </c>
      <c r="J339">
        <v>1</v>
      </c>
      <c r="K339" s="19" t="s">
        <v>1</v>
      </c>
      <c r="L339" s="14" t="s">
        <v>3</v>
      </c>
      <c r="M339">
        <v>40</v>
      </c>
      <c r="N339">
        <v>29</v>
      </c>
      <c r="O339">
        <v>14</v>
      </c>
      <c r="P339">
        <v>11</v>
      </c>
      <c r="Q339">
        <v>15</v>
      </c>
      <c r="R339">
        <v>6</v>
      </c>
      <c r="S339">
        <v>2</v>
      </c>
      <c r="T339">
        <v>4</v>
      </c>
      <c r="U339">
        <v>1</v>
      </c>
      <c r="V339">
        <v>0</v>
      </c>
      <c r="W339">
        <v>2</v>
      </c>
      <c r="X339">
        <v>1</v>
      </c>
      <c r="Y339">
        <v>0</v>
      </c>
      <c r="Z339">
        <v>0</v>
      </c>
      <c r="AA339">
        <v>2</v>
      </c>
      <c r="AB339">
        <v>0</v>
      </c>
      <c r="AC339" s="18">
        <f>SUMPRODUCT(OG_Data!D$1:S$1, M339:AB339) /SUM(M339:AB339)</f>
        <v>3.2598425196850394</v>
      </c>
      <c r="AD339">
        <f t="shared" si="47"/>
        <v>127</v>
      </c>
      <c r="AE339">
        <v>0</v>
      </c>
      <c r="AF339">
        <v>6</v>
      </c>
      <c r="AG339">
        <v>25</v>
      </c>
      <c r="AH339">
        <f>Table3[[#This Row],[Flies_per_Vial]]*Table3[[#This Row],[Vials_Total_UsedInMaze]]</f>
        <v>150</v>
      </c>
      <c r="AI339">
        <f>Table3[[#This Row],[total_Flies]]/Table3[[#This Row],[flies_in]]</f>
        <v>0.84666666666666668</v>
      </c>
      <c r="AJ339">
        <v>0</v>
      </c>
      <c r="AK339" s="31">
        <f t="shared" si="48"/>
        <v>13.583333333333332</v>
      </c>
      <c r="AL339" s="31">
        <f t="shared" si="49"/>
        <v>17.333333333333332</v>
      </c>
      <c r="AM339" s="31">
        <f>Table3[[#This Row],[end_time_num]]-Table3[[#This Row],[start_time_num]]</f>
        <v>3.75</v>
      </c>
      <c r="AN339" s="19" t="s">
        <v>147</v>
      </c>
    </row>
    <row r="340" spans="1:40" x14ac:dyDescent="0.35">
      <c r="A340">
        <v>19</v>
      </c>
      <c r="B340" s="19">
        <v>2</v>
      </c>
      <c r="C340" s="19" t="s">
        <v>154</v>
      </c>
      <c r="D340" t="s">
        <v>172</v>
      </c>
      <c r="E340" s="2">
        <v>0.39097222222222222</v>
      </c>
      <c r="F340" s="2">
        <v>0.5229166666666667</v>
      </c>
      <c r="G340" s="13">
        <v>0.13194444444444448</v>
      </c>
      <c r="H340" s="20" t="s">
        <v>136</v>
      </c>
      <c r="I340" s="19" t="s">
        <v>6</v>
      </c>
      <c r="J340">
        <v>4</v>
      </c>
      <c r="K340" s="19" t="s">
        <v>5</v>
      </c>
      <c r="L340" s="14" t="s">
        <v>3</v>
      </c>
      <c r="M340">
        <v>5</v>
      </c>
      <c r="N340">
        <v>6</v>
      </c>
      <c r="O340">
        <v>5</v>
      </c>
      <c r="P340">
        <v>2</v>
      </c>
      <c r="Q340">
        <v>12</v>
      </c>
      <c r="R340">
        <v>4</v>
      </c>
      <c r="S340">
        <v>0</v>
      </c>
      <c r="T340">
        <v>1</v>
      </c>
      <c r="U340">
        <v>2</v>
      </c>
      <c r="V340">
        <v>3</v>
      </c>
      <c r="W340">
        <v>3</v>
      </c>
      <c r="X340">
        <v>3</v>
      </c>
      <c r="Y340">
        <v>6</v>
      </c>
      <c r="Z340">
        <v>4</v>
      </c>
      <c r="AA340">
        <v>18</v>
      </c>
      <c r="AB340">
        <v>7</v>
      </c>
      <c r="AC340" s="18">
        <f>SUMPRODUCT(OG_Data!D$1:S$1, M340:AB340) /SUM(M340:AB340)</f>
        <v>9.4444444444444446</v>
      </c>
      <c r="AD340">
        <f t="shared" si="47"/>
        <v>81</v>
      </c>
      <c r="AE340">
        <v>0</v>
      </c>
      <c r="AF340">
        <v>6</v>
      </c>
      <c r="AG340">
        <v>25</v>
      </c>
      <c r="AH340">
        <f>Table3[[#This Row],[Flies_per_Vial]]*Table3[[#This Row],[Vials_Total_UsedInMaze]]</f>
        <v>150</v>
      </c>
      <c r="AI340">
        <f>Table3[[#This Row],[total_Flies]]/Table3[[#This Row],[flies_in]]</f>
        <v>0.54</v>
      </c>
      <c r="AJ340">
        <v>2</v>
      </c>
      <c r="AK340" s="31">
        <f t="shared" si="48"/>
        <v>9.3833333333333329</v>
      </c>
      <c r="AL340" s="31">
        <f t="shared" si="49"/>
        <v>12.55</v>
      </c>
      <c r="AM340" s="31">
        <f>Table3[[#This Row],[end_time_num]]-Table3[[#This Row],[start_time_num]]</f>
        <v>3.1666666666666679</v>
      </c>
      <c r="AN340" s="19" t="s">
        <v>147</v>
      </c>
    </row>
    <row r="341" spans="1:40" x14ac:dyDescent="0.35">
      <c r="A341">
        <v>19</v>
      </c>
      <c r="B341" s="19">
        <v>2</v>
      </c>
      <c r="C341" s="19" t="s">
        <v>154</v>
      </c>
      <c r="D341" t="s">
        <v>172</v>
      </c>
      <c r="E341" s="2">
        <v>0.39097222222222222</v>
      </c>
      <c r="F341" s="2">
        <v>0.52777777777777779</v>
      </c>
      <c r="G341" s="13">
        <v>0.13680555555555557</v>
      </c>
      <c r="H341" s="20" t="s">
        <v>136</v>
      </c>
      <c r="I341" s="19" t="s">
        <v>6</v>
      </c>
      <c r="J341">
        <v>4</v>
      </c>
      <c r="K341" s="19" t="s">
        <v>4</v>
      </c>
      <c r="L341" s="14" t="s">
        <v>0</v>
      </c>
      <c r="M341">
        <v>16</v>
      </c>
      <c r="N341">
        <v>2</v>
      </c>
      <c r="O341">
        <v>6</v>
      </c>
      <c r="P341">
        <v>4</v>
      </c>
      <c r="Q341">
        <v>3</v>
      </c>
      <c r="R341">
        <v>4</v>
      </c>
      <c r="S341">
        <v>24</v>
      </c>
      <c r="T341">
        <v>17</v>
      </c>
      <c r="U341">
        <v>7</v>
      </c>
      <c r="V341">
        <v>2</v>
      </c>
      <c r="W341">
        <v>4</v>
      </c>
      <c r="X341">
        <v>2</v>
      </c>
      <c r="Y341">
        <v>0</v>
      </c>
      <c r="Z341">
        <v>1</v>
      </c>
      <c r="AA341">
        <v>1</v>
      </c>
      <c r="AB341">
        <v>0</v>
      </c>
      <c r="AC341" s="18">
        <f>SUMPRODUCT(OG_Data!D$1:S$1, M341:AB341) /SUM(M341:AB341)</f>
        <v>6.204301075268817</v>
      </c>
      <c r="AD341">
        <f t="shared" si="47"/>
        <v>93</v>
      </c>
      <c r="AE341">
        <v>0</v>
      </c>
      <c r="AF341">
        <v>6</v>
      </c>
      <c r="AG341">
        <v>25</v>
      </c>
      <c r="AH341">
        <f>Table3[[#This Row],[Flies_per_Vial]]*Table3[[#This Row],[Vials_Total_UsedInMaze]]</f>
        <v>150</v>
      </c>
      <c r="AI341">
        <f>Table3[[#This Row],[total_Flies]]/Table3[[#This Row],[flies_in]]</f>
        <v>0.62</v>
      </c>
      <c r="AJ341">
        <v>2</v>
      </c>
      <c r="AK341" s="31">
        <f t="shared" si="48"/>
        <v>9.3833333333333329</v>
      </c>
      <c r="AL341" s="31">
        <f t="shared" si="49"/>
        <v>12.666666666666668</v>
      </c>
      <c r="AM341" s="31">
        <f>Table3[[#This Row],[end_time_num]]-Table3[[#This Row],[start_time_num]]</f>
        <v>3.283333333333335</v>
      </c>
      <c r="AN341" s="19" t="s">
        <v>147</v>
      </c>
    </row>
    <row r="342" spans="1:40" x14ac:dyDescent="0.35">
      <c r="A342">
        <v>19</v>
      </c>
      <c r="B342" s="19">
        <v>2</v>
      </c>
      <c r="C342" s="19" t="s">
        <v>154</v>
      </c>
      <c r="D342" t="s">
        <v>172</v>
      </c>
      <c r="E342" s="2">
        <v>0.39097222222222222</v>
      </c>
      <c r="F342" s="2">
        <v>0.53125</v>
      </c>
      <c r="G342" s="13">
        <v>0.14027777777777778</v>
      </c>
      <c r="H342" s="20" t="s">
        <v>136</v>
      </c>
      <c r="I342" s="19" t="s">
        <v>6</v>
      </c>
      <c r="J342">
        <v>4</v>
      </c>
      <c r="K342" s="19" t="s">
        <v>2</v>
      </c>
      <c r="L342" s="14" t="s">
        <v>0</v>
      </c>
      <c r="M342">
        <v>10</v>
      </c>
      <c r="N342">
        <v>14</v>
      </c>
      <c r="O342">
        <v>30</v>
      </c>
      <c r="P342">
        <v>4</v>
      </c>
      <c r="Q342">
        <v>3</v>
      </c>
      <c r="R342">
        <v>10</v>
      </c>
      <c r="S342">
        <v>6</v>
      </c>
      <c r="T342">
        <v>12</v>
      </c>
      <c r="U342">
        <v>18</v>
      </c>
      <c r="V342">
        <v>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 s="18">
        <f>SUMPRODUCT(OG_Data!D$1:S$1, M342:AB342) /SUM(M342:AB342)</f>
        <v>5.3017241379310347</v>
      </c>
      <c r="AD342">
        <f t="shared" si="47"/>
        <v>116</v>
      </c>
      <c r="AE342">
        <v>0</v>
      </c>
      <c r="AF342">
        <v>6</v>
      </c>
      <c r="AG342">
        <v>25</v>
      </c>
      <c r="AH342">
        <f>Table3[[#This Row],[Flies_per_Vial]]*Table3[[#This Row],[Vials_Total_UsedInMaze]]</f>
        <v>150</v>
      </c>
      <c r="AI342">
        <f>Table3[[#This Row],[total_Flies]]/Table3[[#This Row],[flies_in]]</f>
        <v>0.77333333333333332</v>
      </c>
      <c r="AJ342">
        <v>2</v>
      </c>
      <c r="AK342" s="31">
        <f t="shared" si="48"/>
        <v>9.3833333333333329</v>
      </c>
      <c r="AL342" s="31">
        <f t="shared" si="49"/>
        <v>12.75</v>
      </c>
      <c r="AM342" s="31">
        <f>Table3[[#This Row],[end_time_num]]-Table3[[#This Row],[start_time_num]]</f>
        <v>3.3666666666666671</v>
      </c>
      <c r="AN342" s="19" t="s">
        <v>147</v>
      </c>
    </row>
    <row r="343" spans="1:40" x14ac:dyDescent="0.35">
      <c r="A343">
        <v>19</v>
      </c>
      <c r="B343" s="19">
        <v>2</v>
      </c>
      <c r="C343" s="19" t="s">
        <v>154</v>
      </c>
      <c r="D343" t="s">
        <v>172</v>
      </c>
      <c r="E343" s="2">
        <v>0.39097222222222222</v>
      </c>
      <c r="F343" s="2">
        <v>0.53472222222222221</v>
      </c>
      <c r="G343" s="13">
        <v>0.14374999999999999</v>
      </c>
      <c r="H343" s="20" t="s">
        <v>136</v>
      </c>
      <c r="I343" s="19" t="s">
        <v>6</v>
      </c>
      <c r="J343">
        <v>4</v>
      </c>
      <c r="K343" s="19" t="s">
        <v>1</v>
      </c>
      <c r="L343" s="14" t="s">
        <v>3</v>
      </c>
      <c r="M343">
        <v>13</v>
      </c>
      <c r="N343">
        <v>19</v>
      </c>
      <c r="O343">
        <v>15</v>
      </c>
      <c r="P343">
        <v>14</v>
      </c>
      <c r="Q343">
        <v>13</v>
      </c>
      <c r="R343">
        <v>10</v>
      </c>
      <c r="S343">
        <v>2</v>
      </c>
      <c r="T343">
        <v>9</v>
      </c>
      <c r="U343">
        <v>3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1</v>
      </c>
      <c r="AC343" s="18">
        <f>SUMPRODUCT(OG_Data!D$1:S$1, M343:AB343) /SUM(M343:AB343)</f>
        <v>4.2475247524752477</v>
      </c>
      <c r="AD343">
        <f t="shared" si="47"/>
        <v>101</v>
      </c>
      <c r="AE343">
        <v>0</v>
      </c>
      <c r="AF343">
        <v>6</v>
      </c>
      <c r="AG343">
        <v>25</v>
      </c>
      <c r="AH343">
        <f>Table3[[#This Row],[Flies_per_Vial]]*Table3[[#This Row],[Vials_Total_UsedInMaze]]</f>
        <v>150</v>
      </c>
      <c r="AI343">
        <f>Table3[[#This Row],[total_Flies]]/Table3[[#This Row],[flies_in]]</f>
        <v>0.67333333333333334</v>
      </c>
      <c r="AJ343">
        <v>2</v>
      </c>
      <c r="AK343" s="31">
        <f t="shared" si="48"/>
        <v>9.3833333333333329</v>
      </c>
      <c r="AL343" s="31">
        <f t="shared" si="49"/>
        <v>12.833333333333332</v>
      </c>
      <c r="AM343" s="31">
        <f>Table3[[#This Row],[end_time_num]]-Table3[[#This Row],[start_time_num]]</f>
        <v>3.4499999999999993</v>
      </c>
      <c r="AN343" s="19" t="s">
        <v>147</v>
      </c>
    </row>
    <row r="344" spans="1:40" x14ac:dyDescent="0.35">
      <c r="A344">
        <v>19</v>
      </c>
      <c r="B344" s="19">
        <v>2</v>
      </c>
      <c r="C344" s="19" t="s">
        <v>155</v>
      </c>
      <c r="D344" t="s">
        <v>172</v>
      </c>
      <c r="E344" s="2">
        <v>0.54861111111111116</v>
      </c>
      <c r="F344" s="2">
        <v>0.6875</v>
      </c>
      <c r="G344" s="13">
        <v>0.13888888888888884</v>
      </c>
      <c r="H344" s="20" t="s">
        <v>142</v>
      </c>
      <c r="I344" s="19" t="s">
        <v>6</v>
      </c>
      <c r="J344">
        <v>3</v>
      </c>
      <c r="K344" s="19" t="s">
        <v>5</v>
      </c>
      <c r="L344" s="14" t="s">
        <v>3</v>
      </c>
      <c r="M344">
        <v>7</v>
      </c>
      <c r="N344">
        <v>7</v>
      </c>
      <c r="O344">
        <v>10</v>
      </c>
      <c r="P344">
        <v>4</v>
      </c>
      <c r="Q344">
        <v>15</v>
      </c>
      <c r="R344">
        <v>2</v>
      </c>
      <c r="S344">
        <v>8</v>
      </c>
      <c r="T344">
        <v>5</v>
      </c>
      <c r="U344">
        <v>3</v>
      </c>
      <c r="V344">
        <v>2</v>
      </c>
      <c r="W344">
        <v>7</v>
      </c>
      <c r="X344">
        <v>0</v>
      </c>
      <c r="Y344">
        <v>3</v>
      </c>
      <c r="Z344">
        <v>2</v>
      </c>
      <c r="AA344">
        <v>15</v>
      </c>
      <c r="AB344">
        <v>6</v>
      </c>
      <c r="AC344" s="18">
        <f>SUMPRODUCT(OG_Data!D$1:S$1, M344:AB344) /SUM(M344:AB344)</f>
        <v>7.9375</v>
      </c>
      <c r="AD344">
        <f t="shared" si="47"/>
        <v>96</v>
      </c>
      <c r="AE344">
        <v>0</v>
      </c>
      <c r="AF344">
        <v>6</v>
      </c>
      <c r="AG344">
        <v>25</v>
      </c>
      <c r="AH344">
        <f>Table3[[#This Row],[Flies_per_Vial]]*Table3[[#This Row],[Vials_Total_UsedInMaze]]</f>
        <v>150</v>
      </c>
      <c r="AI344">
        <f>Table3[[#This Row],[total_Flies]]/Table3[[#This Row],[flies_in]]</f>
        <v>0.64</v>
      </c>
      <c r="AJ344">
        <v>0</v>
      </c>
      <c r="AK344" s="31">
        <f t="shared" si="48"/>
        <v>13.166666666666668</v>
      </c>
      <c r="AL344" s="31">
        <f t="shared" si="49"/>
        <v>16.5</v>
      </c>
      <c r="AM344" s="31">
        <f>Table3[[#This Row],[end_time_num]]-Table3[[#This Row],[start_time_num]]</f>
        <v>3.3333333333333321</v>
      </c>
      <c r="AN344" s="19" t="s">
        <v>147</v>
      </c>
    </row>
    <row r="345" spans="1:40" x14ac:dyDescent="0.35">
      <c r="A345">
        <v>19</v>
      </c>
      <c r="B345" s="19">
        <v>2</v>
      </c>
      <c r="C345" s="19" t="s">
        <v>155</v>
      </c>
      <c r="D345" t="s">
        <v>172</v>
      </c>
      <c r="E345" s="2">
        <v>0.54861111111111116</v>
      </c>
      <c r="F345" s="2">
        <v>0.69097222222222221</v>
      </c>
      <c r="G345" s="13">
        <v>0.14236111111111105</v>
      </c>
      <c r="H345" s="20" t="s">
        <v>142</v>
      </c>
      <c r="I345" s="19" t="s">
        <v>6</v>
      </c>
      <c r="J345">
        <v>3</v>
      </c>
      <c r="K345" s="19" t="s">
        <v>4</v>
      </c>
      <c r="L345" s="14" t="s">
        <v>0</v>
      </c>
      <c r="M345">
        <v>8</v>
      </c>
      <c r="N345">
        <v>9</v>
      </c>
      <c r="O345">
        <v>7</v>
      </c>
      <c r="P345">
        <v>11</v>
      </c>
      <c r="Q345">
        <v>7</v>
      </c>
      <c r="R345">
        <v>10</v>
      </c>
      <c r="S345">
        <v>14</v>
      </c>
      <c r="T345">
        <v>16</v>
      </c>
      <c r="U345">
        <v>2</v>
      </c>
      <c r="V345">
        <v>2</v>
      </c>
      <c r="W345">
        <v>2</v>
      </c>
      <c r="X345">
        <v>1</v>
      </c>
      <c r="Y345">
        <v>2</v>
      </c>
      <c r="Z345">
        <v>1</v>
      </c>
      <c r="AA345">
        <v>0</v>
      </c>
      <c r="AB345">
        <v>0</v>
      </c>
      <c r="AC345" s="18">
        <f>SUMPRODUCT(OG_Data!D$1:S$1, M345:AB345) /SUM(M345:AB345)</f>
        <v>5.6956521739130439</v>
      </c>
      <c r="AD345">
        <f t="shared" si="47"/>
        <v>92</v>
      </c>
      <c r="AE345">
        <v>0</v>
      </c>
      <c r="AF345">
        <v>5</v>
      </c>
      <c r="AG345">
        <v>25</v>
      </c>
      <c r="AH345">
        <f>Table3[[#This Row],[Flies_per_Vial]]*Table3[[#This Row],[Vials_Total_UsedInMaze]]</f>
        <v>125</v>
      </c>
      <c r="AI345">
        <f>Table3[[#This Row],[total_Flies]]/Table3[[#This Row],[flies_in]]</f>
        <v>0.73599999999999999</v>
      </c>
      <c r="AJ345">
        <v>0</v>
      </c>
      <c r="AK345" s="31">
        <f t="shared" si="48"/>
        <v>13.166666666666668</v>
      </c>
      <c r="AL345" s="31">
        <f t="shared" si="49"/>
        <v>16.583333333333332</v>
      </c>
      <c r="AM345" s="31">
        <f>Table3[[#This Row],[end_time_num]]-Table3[[#This Row],[start_time_num]]</f>
        <v>3.4166666666666643</v>
      </c>
      <c r="AN345" s="19" t="s">
        <v>147</v>
      </c>
    </row>
    <row r="346" spans="1:40" x14ac:dyDescent="0.35">
      <c r="A346">
        <v>19</v>
      </c>
      <c r="B346" s="19">
        <v>2</v>
      </c>
      <c r="C346" s="19" t="s">
        <v>155</v>
      </c>
      <c r="D346" t="s">
        <v>172</v>
      </c>
      <c r="E346" s="2">
        <v>0.54861111111111116</v>
      </c>
      <c r="F346" s="2">
        <v>0.69513888888888886</v>
      </c>
      <c r="G346" s="13">
        <v>0.1465277777777777</v>
      </c>
      <c r="H346" s="20" t="s">
        <v>142</v>
      </c>
      <c r="I346" s="19" t="s">
        <v>6</v>
      </c>
      <c r="J346">
        <v>3</v>
      </c>
      <c r="K346" s="19" t="s">
        <v>2</v>
      </c>
      <c r="L346" s="14" t="s">
        <v>0</v>
      </c>
      <c r="M346">
        <v>23</v>
      </c>
      <c r="N346">
        <v>18</v>
      </c>
      <c r="O346">
        <v>23</v>
      </c>
      <c r="P346">
        <v>7</v>
      </c>
      <c r="Q346">
        <v>3</v>
      </c>
      <c r="R346">
        <v>21</v>
      </c>
      <c r="S346">
        <v>4</v>
      </c>
      <c r="T346">
        <v>7</v>
      </c>
      <c r="U346">
        <v>2</v>
      </c>
      <c r="V346">
        <v>2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 s="18">
        <f>SUMPRODUCT(OG_Data!D$1:S$1, M346:AB346) /SUM(M346:AB346)</f>
        <v>3.9464285714285716</v>
      </c>
      <c r="AD346">
        <f t="shared" si="47"/>
        <v>112</v>
      </c>
      <c r="AE346">
        <v>0</v>
      </c>
      <c r="AF346">
        <v>6</v>
      </c>
      <c r="AG346">
        <v>25</v>
      </c>
      <c r="AH346">
        <f>Table3[[#This Row],[Flies_per_Vial]]*Table3[[#This Row],[Vials_Total_UsedInMaze]]</f>
        <v>150</v>
      </c>
      <c r="AI346">
        <f>Table3[[#This Row],[total_Flies]]/Table3[[#This Row],[flies_in]]</f>
        <v>0.7466666666666667</v>
      </c>
      <c r="AJ346">
        <v>0</v>
      </c>
      <c r="AK346" s="31">
        <f t="shared" si="48"/>
        <v>13.166666666666668</v>
      </c>
      <c r="AL346" s="31">
        <f t="shared" si="49"/>
        <v>16.683333333333334</v>
      </c>
      <c r="AM346" s="31">
        <f>Table3[[#This Row],[end_time_num]]-Table3[[#This Row],[start_time_num]]</f>
        <v>3.5166666666666657</v>
      </c>
      <c r="AN346" s="19" t="s">
        <v>147</v>
      </c>
    </row>
    <row r="347" spans="1:40" x14ac:dyDescent="0.35">
      <c r="A347">
        <v>19</v>
      </c>
      <c r="B347" s="19">
        <v>2</v>
      </c>
      <c r="C347" s="19" t="s">
        <v>155</v>
      </c>
      <c r="D347" t="s">
        <v>172</v>
      </c>
      <c r="E347" s="2">
        <v>0.54861111111111116</v>
      </c>
      <c r="F347" s="2">
        <v>0.69791666666666663</v>
      </c>
      <c r="G347" s="13">
        <v>0.14930555555555547</v>
      </c>
      <c r="H347" s="20" t="s">
        <v>142</v>
      </c>
      <c r="I347" s="19" t="s">
        <v>6</v>
      </c>
      <c r="J347">
        <v>3</v>
      </c>
      <c r="K347" s="19" t="s">
        <v>1</v>
      </c>
      <c r="L347" s="14" t="s">
        <v>3</v>
      </c>
      <c r="M347">
        <v>34</v>
      </c>
      <c r="N347">
        <v>20</v>
      </c>
      <c r="O347">
        <v>8</v>
      </c>
      <c r="P347">
        <v>10</v>
      </c>
      <c r="Q347">
        <v>10</v>
      </c>
      <c r="R347">
        <v>12</v>
      </c>
      <c r="S347">
        <v>3</v>
      </c>
      <c r="T347">
        <v>7</v>
      </c>
      <c r="U347">
        <v>3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0</v>
      </c>
      <c r="AB347">
        <v>0</v>
      </c>
      <c r="AC347" s="18">
        <f>SUMPRODUCT(OG_Data!D$1:S$1, M347:AB347) /SUM(M347:AB347)</f>
        <v>3.6636363636363636</v>
      </c>
      <c r="AD347">
        <f t="shared" si="47"/>
        <v>110</v>
      </c>
      <c r="AE347">
        <v>0</v>
      </c>
      <c r="AF347">
        <v>6</v>
      </c>
      <c r="AG347">
        <v>25</v>
      </c>
      <c r="AH347">
        <f>Table3[[#This Row],[Flies_per_Vial]]*Table3[[#This Row],[Vials_Total_UsedInMaze]]</f>
        <v>150</v>
      </c>
      <c r="AI347">
        <f>Table3[[#This Row],[total_Flies]]/Table3[[#This Row],[flies_in]]</f>
        <v>0.73333333333333328</v>
      </c>
      <c r="AJ347">
        <v>0</v>
      </c>
      <c r="AK347" s="31">
        <f t="shared" si="48"/>
        <v>13.166666666666668</v>
      </c>
      <c r="AL347" s="31">
        <f t="shared" si="49"/>
        <v>16.75</v>
      </c>
      <c r="AM347" s="31">
        <f>Table3[[#This Row],[end_time_num]]-Table3[[#This Row],[start_time_num]]</f>
        <v>3.5833333333333321</v>
      </c>
      <c r="AN347" s="19" t="s">
        <v>147</v>
      </c>
    </row>
    <row r="348" spans="1:40" x14ac:dyDescent="0.35">
      <c r="A348">
        <v>20</v>
      </c>
      <c r="B348" s="19">
        <v>1</v>
      </c>
      <c r="D348" t="s">
        <v>173</v>
      </c>
      <c r="E348" s="2">
        <v>0.38541666666666669</v>
      </c>
      <c r="F348" s="2">
        <v>0.52361111111111114</v>
      </c>
      <c r="G348" s="13">
        <v>0.13819444444444445</v>
      </c>
      <c r="H348" s="20" t="s">
        <v>136</v>
      </c>
      <c r="I348" s="19" t="s">
        <v>6</v>
      </c>
      <c r="J348">
        <v>1</v>
      </c>
      <c r="K348" s="19" t="s">
        <v>5</v>
      </c>
      <c r="L348" s="14" t="s">
        <v>0</v>
      </c>
      <c r="M348">
        <v>5</v>
      </c>
      <c r="N348">
        <v>5</v>
      </c>
      <c r="O348">
        <v>1</v>
      </c>
      <c r="P348">
        <v>1</v>
      </c>
      <c r="Q348">
        <v>4</v>
      </c>
      <c r="R348">
        <v>3</v>
      </c>
      <c r="S348">
        <v>1</v>
      </c>
      <c r="T348">
        <v>0</v>
      </c>
      <c r="U348">
        <v>2</v>
      </c>
      <c r="V348">
        <v>0</v>
      </c>
      <c r="W348">
        <v>2</v>
      </c>
      <c r="X348">
        <v>1</v>
      </c>
      <c r="Y348">
        <v>3</v>
      </c>
      <c r="Z348">
        <v>0</v>
      </c>
      <c r="AA348">
        <v>1</v>
      </c>
      <c r="AB348">
        <v>1</v>
      </c>
      <c r="AC348" s="18">
        <f>SUMPRODUCT(OG_Data!D$1:S$1, M348:AB348) /SUM(M348:AB348)</f>
        <v>6.3</v>
      </c>
      <c r="AD348">
        <f t="shared" si="47"/>
        <v>30</v>
      </c>
      <c r="AE348">
        <v>0</v>
      </c>
      <c r="AF348">
        <v>6</v>
      </c>
      <c r="AG348">
        <v>25</v>
      </c>
      <c r="AH348">
        <f>Table3[[#This Row],[Flies_per_Vial]]*Table3[[#This Row],[Vials_Total_UsedInMaze]]</f>
        <v>150</v>
      </c>
      <c r="AI348">
        <f>Table3[[#This Row],[total_Flies]]/Table3[[#This Row],[flies_in]]</f>
        <v>0.2</v>
      </c>
      <c r="AJ348">
        <v>0</v>
      </c>
      <c r="AK348" s="31">
        <f t="shared" si="48"/>
        <v>9.25</v>
      </c>
      <c r="AL348" s="31">
        <f t="shared" si="49"/>
        <v>12.566666666666666</v>
      </c>
      <c r="AM348" s="31">
        <f>Table3[[#This Row],[end_time_num]]-Table3[[#This Row],[start_time_num]]</f>
        <v>3.3166666666666664</v>
      </c>
      <c r="AN348" t="s">
        <v>148</v>
      </c>
    </row>
    <row r="349" spans="1:40" x14ac:dyDescent="0.35">
      <c r="A349">
        <v>20</v>
      </c>
      <c r="B349" s="19">
        <v>1</v>
      </c>
      <c r="D349" t="s">
        <v>173</v>
      </c>
      <c r="E349" s="2">
        <v>0.38541666666666669</v>
      </c>
      <c r="F349" s="2">
        <v>0.52777777777777779</v>
      </c>
      <c r="G349" s="13">
        <v>0.1423611111111111</v>
      </c>
      <c r="H349" s="20" t="s">
        <v>136</v>
      </c>
      <c r="I349" s="19" t="s">
        <v>6</v>
      </c>
      <c r="J349">
        <v>1</v>
      </c>
      <c r="K349" s="19" t="s">
        <v>4</v>
      </c>
      <c r="L349" s="14" t="s">
        <v>3</v>
      </c>
      <c r="M349">
        <v>2</v>
      </c>
      <c r="N349">
        <v>3</v>
      </c>
      <c r="O349">
        <v>3</v>
      </c>
      <c r="P349">
        <v>1</v>
      </c>
      <c r="Q349">
        <v>4</v>
      </c>
      <c r="R349">
        <v>5</v>
      </c>
      <c r="S349">
        <v>10</v>
      </c>
      <c r="T349">
        <v>7</v>
      </c>
      <c r="U349">
        <v>6</v>
      </c>
      <c r="V349">
        <v>1</v>
      </c>
      <c r="W349">
        <v>4</v>
      </c>
      <c r="X349">
        <v>1</v>
      </c>
      <c r="Y349">
        <v>1</v>
      </c>
      <c r="Z349">
        <v>0</v>
      </c>
      <c r="AA349">
        <v>0</v>
      </c>
      <c r="AB349">
        <v>0</v>
      </c>
      <c r="AC349" s="18">
        <f>SUMPRODUCT(OG_Data!D$1:S$1, M349:AB349) /SUM(M349:AB349)</f>
        <v>6.875</v>
      </c>
      <c r="AD349">
        <f t="shared" si="47"/>
        <v>48</v>
      </c>
      <c r="AE349">
        <v>0</v>
      </c>
      <c r="AF349">
        <v>5</v>
      </c>
      <c r="AG349">
        <v>25</v>
      </c>
      <c r="AH349">
        <f>Table3[[#This Row],[Flies_per_Vial]]*Table3[[#This Row],[Vials_Total_UsedInMaze]]</f>
        <v>125</v>
      </c>
      <c r="AI349">
        <f>Table3[[#This Row],[total_Flies]]/Table3[[#This Row],[flies_in]]</f>
        <v>0.38400000000000001</v>
      </c>
      <c r="AJ349">
        <v>0</v>
      </c>
      <c r="AK349" s="31">
        <f t="shared" si="48"/>
        <v>9.25</v>
      </c>
      <c r="AL349" s="31">
        <f t="shared" si="49"/>
        <v>12.666666666666668</v>
      </c>
      <c r="AM349" s="31">
        <f>Table3[[#This Row],[end_time_num]]-Table3[[#This Row],[start_time_num]]</f>
        <v>3.4166666666666679</v>
      </c>
      <c r="AN349" t="s">
        <v>148</v>
      </c>
    </row>
    <row r="350" spans="1:40" x14ac:dyDescent="0.35">
      <c r="A350">
        <v>20</v>
      </c>
      <c r="B350" s="19">
        <v>1</v>
      </c>
      <c r="D350" t="s">
        <v>173</v>
      </c>
      <c r="E350" s="2">
        <v>0.38541666666666669</v>
      </c>
      <c r="F350" s="2">
        <v>0.53333333333333333</v>
      </c>
      <c r="G350" s="13">
        <v>0.14791666666666664</v>
      </c>
      <c r="H350" s="20" t="s">
        <v>136</v>
      </c>
      <c r="I350" s="19" t="s">
        <v>6</v>
      </c>
      <c r="J350">
        <v>1</v>
      </c>
      <c r="K350" s="19" t="s">
        <v>2</v>
      </c>
      <c r="L350" s="14" t="s">
        <v>3</v>
      </c>
      <c r="M350">
        <v>4</v>
      </c>
      <c r="N350">
        <v>8</v>
      </c>
      <c r="O350">
        <v>11</v>
      </c>
      <c r="P350">
        <v>0</v>
      </c>
      <c r="Q350">
        <v>1</v>
      </c>
      <c r="R350">
        <v>6</v>
      </c>
      <c r="S350">
        <v>2</v>
      </c>
      <c r="T350">
        <v>3</v>
      </c>
      <c r="U350">
        <v>9</v>
      </c>
      <c r="V350">
        <v>11</v>
      </c>
      <c r="W350">
        <v>5</v>
      </c>
      <c r="X350">
        <v>1</v>
      </c>
      <c r="Y350">
        <v>1</v>
      </c>
      <c r="Z350">
        <v>0</v>
      </c>
      <c r="AA350">
        <v>0</v>
      </c>
      <c r="AB350">
        <v>0</v>
      </c>
      <c r="AC350" s="18">
        <f>SUMPRODUCT(OG_Data!D$1:S$1, M350:AB350) /SUM(M350:AB350)</f>
        <v>6.5</v>
      </c>
      <c r="AD350">
        <f t="shared" si="47"/>
        <v>62</v>
      </c>
      <c r="AE350">
        <v>0</v>
      </c>
      <c r="AF350">
        <v>5</v>
      </c>
      <c r="AG350">
        <v>25</v>
      </c>
      <c r="AH350">
        <f>Table3[[#This Row],[Flies_per_Vial]]*Table3[[#This Row],[Vials_Total_UsedInMaze]]</f>
        <v>125</v>
      </c>
      <c r="AI350">
        <f>Table3[[#This Row],[total_Flies]]/Table3[[#This Row],[flies_in]]</f>
        <v>0.496</v>
      </c>
      <c r="AJ350">
        <v>0</v>
      </c>
      <c r="AK350" s="31">
        <f t="shared" si="48"/>
        <v>9.25</v>
      </c>
      <c r="AL350" s="31">
        <f t="shared" si="49"/>
        <v>12.8</v>
      </c>
      <c r="AM350" s="31">
        <f>Table3[[#This Row],[end_time_num]]-Table3[[#This Row],[start_time_num]]</f>
        <v>3.5500000000000007</v>
      </c>
      <c r="AN350" t="s">
        <v>148</v>
      </c>
    </row>
    <row r="351" spans="1:40" x14ac:dyDescent="0.35">
      <c r="A351">
        <v>20</v>
      </c>
      <c r="B351" s="19">
        <v>1</v>
      </c>
      <c r="D351" t="s">
        <v>173</v>
      </c>
      <c r="E351" s="2">
        <v>0.38541666666666669</v>
      </c>
      <c r="F351" s="2">
        <v>0.53819444444444442</v>
      </c>
      <c r="G351" s="13">
        <v>0.15277777777777773</v>
      </c>
      <c r="H351" s="20" t="s">
        <v>136</v>
      </c>
      <c r="I351" s="19" t="s">
        <v>6</v>
      </c>
      <c r="J351">
        <v>1</v>
      </c>
      <c r="K351" s="19" t="s">
        <v>1</v>
      </c>
      <c r="L351" s="14" t="s">
        <v>0</v>
      </c>
      <c r="M351">
        <v>18</v>
      </c>
      <c r="N351">
        <v>25</v>
      </c>
      <c r="O351">
        <v>11</v>
      </c>
      <c r="P351">
        <v>12</v>
      </c>
      <c r="Q351">
        <v>8</v>
      </c>
      <c r="R351">
        <v>10</v>
      </c>
      <c r="S351">
        <v>7</v>
      </c>
      <c r="T351">
        <v>6</v>
      </c>
      <c r="U351">
        <v>4</v>
      </c>
      <c r="V351">
        <v>0</v>
      </c>
      <c r="W351">
        <v>2</v>
      </c>
      <c r="X351">
        <v>1</v>
      </c>
      <c r="Y351">
        <v>0</v>
      </c>
      <c r="Z351">
        <v>0</v>
      </c>
      <c r="AA351">
        <v>0</v>
      </c>
      <c r="AB351">
        <v>0</v>
      </c>
      <c r="AC351" s="18">
        <f>SUMPRODUCT(OG_Data!D$1:S$1, M351:AB351) /SUM(M351:AB351)</f>
        <v>4</v>
      </c>
      <c r="AD351">
        <f t="shared" si="47"/>
        <v>104</v>
      </c>
      <c r="AE351">
        <v>0</v>
      </c>
      <c r="AF351">
        <v>6</v>
      </c>
      <c r="AG351">
        <v>25</v>
      </c>
      <c r="AH351">
        <f>Table3[[#This Row],[Flies_per_Vial]]*Table3[[#This Row],[Vials_Total_UsedInMaze]]</f>
        <v>150</v>
      </c>
      <c r="AI351">
        <f>Table3[[#This Row],[total_Flies]]/Table3[[#This Row],[flies_in]]</f>
        <v>0.69333333333333336</v>
      </c>
      <c r="AJ351">
        <v>0</v>
      </c>
      <c r="AK351" s="31">
        <f t="shared" si="48"/>
        <v>9.25</v>
      </c>
      <c r="AL351" s="31">
        <f t="shared" si="49"/>
        <v>12.916666666666666</v>
      </c>
      <c r="AM351" s="31">
        <f>Table3[[#This Row],[end_time_num]]-Table3[[#This Row],[start_time_num]]</f>
        <v>3.6666666666666661</v>
      </c>
      <c r="AN351" t="s">
        <v>148</v>
      </c>
    </row>
    <row r="352" spans="1:40" x14ac:dyDescent="0.35">
      <c r="A352">
        <v>20</v>
      </c>
      <c r="B352" s="19">
        <v>1</v>
      </c>
      <c r="D352" t="s">
        <v>173</v>
      </c>
      <c r="E352" s="2">
        <v>0.57291666666666663</v>
      </c>
      <c r="F352" s="2">
        <v>0.6875</v>
      </c>
      <c r="G352" s="13">
        <v>0.11458333333333337</v>
      </c>
      <c r="H352" s="20" t="s">
        <v>142</v>
      </c>
      <c r="I352" s="19" t="s">
        <v>6</v>
      </c>
      <c r="J352">
        <v>2</v>
      </c>
      <c r="K352" s="19" t="s">
        <v>5</v>
      </c>
      <c r="L352" s="14" t="s">
        <v>0</v>
      </c>
      <c r="M352">
        <v>5</v>
      </c>
      <c r="N352">
        <v>10</v>
      </c>
      <c r="O352">
        <v>9</v>
      </c>
      <c r="P352">
        <v>10</v>
      </c>
      <c r="Q352">
        <v>19</v>
      </c>
      <c r="R352">
        <v>2</v>
      </c>
      <c r="S352">
        <v>0</v>
      </c>
      <c r="T352">
        <v>6</v>
      </c>
      <c r="U352">
        <v>2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 s="18">
        <f>SUMPRODUCT(OG_Data!D$1:S$1, M352:AB352) /SUM(M352:AB352)</f>
        <v>4.4461538461538463</v>
      </c>
      <c r="AD352">
        <f t="shared" si="47"/>
        <v>65</v>
      </c>
      <c r="AE352">
        <v>0</v>
      </c>
      <c r="AF352">
        <v>6</v>
      </c>
      <c r="AG352">
        <v>25</v>
      </c>
      <c r="AH352">
        <f>Table3[[#This Row],[Flies_per_Vial]]*Table3[[#This Row],[Vials_Total_UsedInMaze]]</f>
        <v>150</v>
      </c>
      <c r="AI352">
        <f>Table3[[#This Row],[total_Flies]]/Table3[[#This Row],[flies_in]]</f>
        <v>0.43333333333333335</v>
      </c>
      <c r="AJ352">
        <v>0</v>
      </c>
      <c r="AK352" s="31">
        <f t="shared" si="48"/>
        <v>13.75</v>
      </c>
      <c r="AL352" s="31">
        <f t="shared" si="49"/>
        <v>16.5</v>
      </c>
      <c r="AM352" s="31">
        <f>Table3[[#This Row],[end_time_num]]-Table3[[#This Row],[start_time_num]]</f>
        <v>2.75</v>
      </c>
      <c r="AN352" s="19" t="s">
        <v>147</v>
      </c>
    </row>
    <row r="353" spans="1:40" x14ac:dyDescent="0.35">
      <c r="A353">
        <v>20</v>
      </c>
      <c r="B353" s="19">
        <v>1</v>
      </c>
      <c r="D353" t="s">
        <v>173</v>
      </c>
      <c r="E353" s="2">
        <v>0.57291666666666663</v>
      </c>
      <c r="F353" s="2">
        <v>0.69027777777777777</v>
      </c>
      <c r="G353" s="13">
        <v>0.11736111111111114</v>
      </c>
      <c r="H353" s="20" t="s">
        <v>142</v>
      </c>
      <c r="I353" s="19" t="s">
        <v>6</v>
      </c>
      <c r="J353">
        <v>2</v>
      </c>
      <c r="K353" s="19" t="s">
        <v>4</v>
      </c>
      <c r="L353" s="14" t="s">
        <v>3</v>
      </c>
      <c r="M353">
        <v>19</v>
      </c>
      <c r="N353">
        <v>13</v>
      </c>
      <c r="O353">
        <v>14</v>
      </c>
      <c r="P353">
        <v>11</v>
      </c>
      <c r="Q353">
        <v>7</v>
      </c>
      <c r="R353">
        <v>5</v>
      </c>
      <c r="S353">
        <v>17</v>
      </c>
      <c r="T353">
        <v>13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 s="18">
        <f>SUMPRODUCT(OG_Data!D$1:S$1, M353:AB353) /SUM(M353:AB353)</f>
        <v>4.5428571428571427</v>
      </c>
      <c r="AD353">
        <f t="shared" si="47"/>
        <v>105</v>
      </c>
      <c r="AE353">
        <v>0</v>
      </c>
      <c r="AF353">
        <v>4</v>
      </c>
      <c r="AG353">
        <v>25</v>
      </c>
      <c r="AH353">
        <f>Table3[[#This Row],[Flies_per_Vial]]*Table3[[#This Row],[Vials_Total_UsedInMaze]]</f>
        <v>100</v>
      </c>
      <c r="AI353">
        <f>Table3[[#This Row],[total_Flies]]/Table3[[#This Row],[flies_in]]</f>
        <v>1.05</v>
      </c>
      <c r="AJ353">
        <v>0</v>
      </c>
      <c r="AK353" s="31">
        <f t="shared" si="48"/>
        <v>13.75</v>
      </c>
      <c r="AL353" s="31">
        <f t="shared" si="49"/>
        <v>16.566666666666666</v>
      </c>
      <c r="AM353" s="31">
        <f>Table3[[#This Row],[end_time_num]]-Table3[[#This Row],[start_time_num]]</f>
        <v>2.8166666666666664</v>
      </c>
      <c r="AN353" s="19" t="s">
        <v>147</v>
      </c>
    </row>
    <row r="354" spans="1:40" x14ac:dyDescent="0.35">
      <c r="A354">
        <v>20</v>
      </c>
      <c r="B354" s="19">
        <v>1</v>
      </c>
      <c r="D354" t="s">
        <v>173</v>
      </c>
      <c r="E354" s="2">
        <v>0.57291666666666663</v>
      </c>
      <c r="F354" s="2">
        <v>0.69374999999999998</v>
      </c>
      <c r="G354" s="13">
        <v>0.12083333333333335</v>
      </c>
      <c r="H354" s="20" t="s">
        <v>142</v>
      </c>
      <c r="I354" s="19" t="s">
        <v>6</v>
      </c>
      <c r="J354">
        <v>2</v>
      </c>
      <c r="K354" s="19" t="s">
        <v>2</v>
      </c>
      <c r="L354" s="14" t="s">
        <v>3</v>
      </c>
      <c r="M354">
        <v>26</v>
      </c>
      <c r="N354">
        <v>22</v>
      </c>
      <c r="O354">
        <v>34</v>
      </c>
      <c r="P354">
        <v>3</v>
      </c>
      <c r="Q354">
        <v>5</v>
      </c>
      <c r="R354">
        <v>6</v>
      </c>
      <c r="S354">
        <v>2</v>
      </c>
      <c r="T354">
        <v>5</v>
      </c>
      <c r="U354">
        <v>6</v>
      </c>
      <c r="V354">
        <v>2</v>
      </c>
      <c r="W354">
        <v>4</v>
      </c>
      <c r="X354">
        <v>0</v>
      </c>
      <c r="Y354">
        <v>0</v>
      </c>
      <c r="Z354">
        <v>0</v>
      </c>
      <c r="AA354">
        <v>0</v>
      </c>
      <c r="AB354">
        <v>0</v>
      </c>
      <c r="AC354" s="18">
        <f>SUMPRODUCT(OG_Data!D$1:S$1, M354:AB354) /SUM(M354:AB354)</f>
        <v>3.6260869565217391</v>
      </c>
      <c r="AD354">
        <f t="shared" si="47"/>
        <v>115</v>
      </c>
      <c r="AE354">
        <v>0</v>
      </c>
      <c r="AF354">
        <v>4</v>
      </c>
      <c r="AG354">
        <v>25</v>
      </c>
      <c r="AH354">
        <f>Table3[[#This Row],[Flies_per_Vial]]*Table3[[#This Row],[Vials_Total_UsedInMaze]]</f>
        <v>100</v>
      </c>
      <c r="AI354">
        <f>Table3[[#This Row],[total_Flies]]/Table3[[#This Row],[flies_in]]</f>
        <v>1.1499999999999999</v>
      </c>
      <c r="AJ354">
        <v>0</v>
      </c>
      <c r="AK354" s="31">
        <f t="shared" si="48"/>
        <v>13.75</v>
      </c>
      <c r="AL354" s="31">
        <f t="shared" si="49"/>
        <v>16.649999999999999</v>
      </c>
      <c r="AM354" s="31">
        <f>Table3[[#This Row],[end_time_num]]-Table3[[#This Row],[start_time_num]]</f>
        <v>2.8999999999999986</v>
      </c>
      <c r="AN354" s="19" t="s">
        <v>147</v>
      </c>
    </row>
    <row r="355" spans="1:40" x14ac:dyDescent="0.35">
      <c r="A355">
        <v>20</v>
      </c>
      <c r="B355" s="19">
        <v>1</v>
      </c>
      <c r="D355" t="s">
        <v>173</v>
      </c>
      <c r="E355" s="2">
        <v>0.57291666666666663</v>
      </c>
      <c r="F355" s="2">
        <v>0.69861111111111107</v>
      </c>
      <c r="G355" s="13">
        <v>0.12569444444444444</v>
      </c>
      <c r="H355" s="20" t="s">
        <v>142</v>
      </c>
      <c r="I355" s="19" t="s">
        <v>6</v>
      </c>
      <c r="J355">
        <v>2</v>
      </c>
      <c r="K355" s="19" t="s">
        <v>1</v>
      </c>
      <c r="L355" s="14" t="s">
        <v>0</v>
      </c>
      <c r="M355">
        <v>30</v>
      </c>
      <c r="N355">
        <v>17</v>
      </c>
      <c r="O355">
        <v>9</v>
      </c>
      <c r="P355">
        <v>12</v>
      </c>
      <c r="Q355">
        <v>19</v>
      </c>
      <c r="R355">
        <v>13</v>
      </c>
      <c r="S355">
        <v>2</v>
      </c>
      <c r="T355">
        <v>4</v>
      </c>
      <c r="U355">
        <v>2</v>
      </c>
      <c r="V355">
        <v>0</v>
      </c>
      <c r="W355">
        <v>2</v>
      </c>
      <c r="X355">
        <v>1</v>
      </c>
      <c r="Y355">
        <v>0</v>
      </c>
      <c r="Z355">
        <v>0</v>
      </c>
      <c r="AA355">
        <v>0</v>
      </c>
      <c r="AB355">
        <v>0</v>
      </c>
      <c r="AC355" s="18">
        <f>SUMPRODUCT(OG_Data!D$1:S$1, M355:AB355) /SUM(M355:AB355)</f>
        <v>3.6936936936936937</v>
      </c>
      <c r="AD355">
        <f t="shared" si="47"/>
        <v>111</v>
      </c>
      <c r="AE355">
        <v>0</v>
      </c>
      <c r="AF355">
        <v>6</v>
      </c>
      <c r="AG355">
        <v>25</v>
      </c>
      <c r="AH355">
        <f>Table3[[#This Row],[Flies_per_Vial]]*Table3[[#This Row],[Vials_Total_UsedInMaze]]</f>
        <v>150</v>
      </c>
      <c r="AI355">
        <f>Table3[[#This Row],[total_Flies]]/Table3[[#This Row],[flies_in]]</f>
        <v>0.74</v>
      </c>
      <c r="AJ355">
        <v>0</v>
      </c>
      <c r="AK355" s="31">
        <f t="shared" si="48"/>
        <v>13.75</v>
      </c>
      <c r="AL355" s="31">
        <f t="shared" si="49"/>
        <v>16.766666666666666</v>
      </c>
      <c r="AM355" s="31">
        <f>Table3[[#This Row],[end_time_num]]-Table3[[#This Row],[start_time_num]]</f>
        <v>3.0166666666666657</v>
      </c>
      <c r="AN355" s="19" t="s">
        <v>147</v>
      </c>
    </row>
    <row r="356" spans="1:40" x14ac:dyDescent="0.35">
      <c r="A356">
        <v>20</v>
      </c>
      <c r="B356" s="19">
        <v>2</v>
      </c>
      <c r="D356" t="s">
        <v>174</v>
      </c>
      <c r="E356" s="2">
        <v>0.3923611111111111</v>
      </c>
      <c r="F356" s="2">
        <v>0.52430555555555558</v>
      </c>
      <c r="G356" s="13">
        <v>0.13194444444444448</v>
      </c>
      <c r="H356" s="20" t="s">
        <v>136</v>
      </c>
      <c r="I356" s="19" t="s">
        <v>6</v>
      </c>
      <c r="J356">
        <v>3</v>
      </c>
      <c r="K356" s="19" t="s">
        <v>5</v>
      </c>
      <c r="L356" s="14" t="s">
        <v>0</v>
      </c>
      <c r="M356">
        <v>6</v>
      </c>
      <c r="N356">
        <v>5</v>
      </c>
      <c r="O356">
        <v>3</v>
      </c>
      <c r="P356">
        <v>1</v>
      </c>
      <c r="Q356">
        <v>5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5</v>
      </c>
      <c r="AA356">
        <v>0</v>
      </c>
      <c r="AB356">
        <v>0</v>
      </c>
      <c r="AC356" s="18">
        <f>SUMPRODUCT(OG_Data!D$1:S$1, M356:AB356) /SUM(M356:AB356)</f>
        <v>5.2592592592592595</v>
      </c>
      <c r="AD356">
        <f t="shared" si="47"/>
        <v>27</v>
      </c>
      <c r="AE356">
        <v>0</v>
      </c>
      <c r="AF356">
        <v>5</v>
      </c>
      <c r="AG356">
        <v>25</v>
      </c>
      <c r="AH356">
        <f>Table3[[#This Row],[Flies_per_Vial]]*Table3[[#This Row],[Vials_Total_UsedInMaze]]</f>
        <v>125</v>
      </c>
      <c r="AI356">
        <f>Table3[[#This Row],[total_Flies]]/Table3[[#This Row],[flies_in]]</f>
        <v>0.216</v>
      </c>
      <c r="AJ356">
        <v>0</v>
      </c>
      <c r="AK356" s="31">
        <f t="shared" si="48"/>
        <v>9.4166666666666661</v>
      </c>
      <c r="AL356" s="31">
        <f t="shared" si="49"/>
        <v>12.583333333333334</v>
      </c>
      <c r="AM356" s="31">
        <f>Table3[[#This Row],[end_time_num]]-Table3[[#This Row],[start_time_num]]</f>
        <v>3.1666666666666679</v>
      </c>
      <c r="AN356" s="19" t="s">
        <v>147</v>
      </c>
    </row>
    <row r="357" spans="1:40" x14ac:dyDescent="0.35">
      <c r="A357">
        <v>20</v>
      </c>
      <c r="B357" s="19">
        <v>2</v>
      </c>
      <c r="D357" t="s">
        <v>174</v>
      </c>
      <c r="E357" s="2">
        <v>0.3923611111111111</v>
      </c>
      <c r="F357" s="2">
        <v>0.52708333333333335</v>
      </c>
      <c r="G357" s="13">
        <v>0.13472222222222224</v>
      </c>
      <c r="H357" s="20" t="s">
        <v>136</v>
      </c>
      <c r="I357" s="19" t="s">
        <v>6</v>
      </c>
      <c r="J357">
        <v>3</v>
      </c>
      <c r="K357" s="19" t="s">
        <v>4</v>
      </c>
      <c r="L357" s="14" t="s">
        <v>3</v>
      </c>
      <c r="M357">
        <v>8</v>
      </c>
      <c r="N357">
        <v>3</v>
      </c>
      <c r="O357">
        <v>1</v>
      </c>
      <c r="P357">
        <v>5</v>
      </c>
      <c r="Q357">
        <v>6</v>
      </c>
      <c r="R357">
        <v>10</v>
      </c>
      <c r="S357">
        <v>17</v>
      </c>
      <c r="T357">
        <v>5</v>
      </c>
      <c r="U357">
        <v>5</v>
      </c>
      <c r="V357">
        <v>5</v>
      </c>
      <c r="W357">
        <v>5</v>
      </c>
      <c r="X357">
        <v>5</v>
      </c>
      <c r="Y357">
        <v>8</v>
      </c>
      <c r="Z357">
        <v>5</v>
      </c>
      <c r="AA357">
        <v>4</v>
      </c>
      <c r="AB357">
        <v>3</v>
      </c>
      <c r="AC357" s="18">
        <f>SUMPRODUCT(OG_Data!D$1:S$1, M357:AB357) /SUM(M357:AB357)</f>
        <v>8.189473684210526</v>
      </c>
      <c r="AD357">
        <f t="shared" si="47"/>
        <v>95</v>
      </c>
      <c r="AE357">
        <v>0</v>
      </c>
      <c r="AF357">
        <v>6</v>
      </c>
      <c r="AG357">
        <v>25</v>
      </c>
      <c r="AH357">
        <f>Table3[[#This Row],[Flies_per_Vial]]*Table3[[#This Row],[Vials_Total_UsedInMaze]]</f>
        <v>150</v>
      </c>
      <c r="AI357">
        <f>Table3[[#This Row],[total_Flies]]/Table3[[#This Row],[flies_in]]</f>
        <v>0.6333333333333333</v>
      </c>
      <c r="AJ357">
        <v>0</v>
      </c>
      <c r="AK357" s="31">
        <f t="shared" si="48"/>
        <v>9.4166666666666661</v>
      </c>
      <c r="AL357" s="31">
        <f t="shared" si="49"/>
        <v>12.65</v>
      </c>
      <c r="AM357" s="31">
        <f>Table3[[#This Row],[end_time_num]]-Table3[[#This Row],[start_time_num]]</f>
        <v>3.2333333333333343</v>
      </c>
      <c r="AN357" s="19" t="s">
        <v>147</v>
      </c>
    </row>
    <row r="358" spans="1:40" x14ac:dyDescent="0.35">
      <c r="A358">
        <v>20</v>
      </c>
      <c r="B358" s="19">
        <v>2</v>
      </c>
      <c r="D358" t="s">
        <v>174</v>
      </c>
      <c r="E358" s="2">
        <v>0.3923611111111111</v>
      </c>
      <c r="F358" s="2">
        <v>0.53194444444444444</v>
      </c>
      <c r="G358" s="13">
        <v>0.13958333333333334</v>
      </c>
      <c r="H358" s="20" t="s">
        <v>136</v>
      </c>
      <c r="I358" s="19" t="s">
        <v>6</v>
      </c>
      <c r="J358">
        <v>3</v>
      </c>
      <c r="K358" s="19" t="s">
        <v>2</v>
      </c>
      <c r="L358" s="14" t="s">
        <v>3</v>
      </c>
      <c r="M358">
        <v>7</v>
      </c>
      <c r="N358">
        <v>9</v>
      </c>
      <c r="O358">
        <v>14</v>
      </c>
      <c r="P358">
        <v>2</v>
      </c>
      <c r="Q358">
        <v>2</v>
      </c>
      <c r="R358">
        <v>12</v>
      </c>
      <c r="S358">
        <v>4</v>
      </c>
      <c r="T358">
        <v>7</v>
      </c>
      <c r="U358">
        <v>13</v>
      </c>
      <c r="V358">
        <v>8</v>
      </c>
      <c r="W358">
        <v>17</v>
      </c>
      <c r="X358">
        <v>2</v>
      </c>
      <c r="Y358">
        <v>0</v>
      </c>
      <c r="Z358">
        <v>1</v>
      </c>
      <c r="AA358">
        <v>1</v>
      </c>
      <c r="AB358">
        <v>0</v>
      </c>
      <c r="AC358" s="18">
        <f>SUMPRODUCT(OG_Data!D$1:S$1, M358:AB358) /SUM(M358:AB358)</f>
        <v>6.8484848484848486</v>
      </c>
      <c r="AD358">
        <f t="shared" si="47"/>
        <v>99</v>
      </c>
      <c r="AE358">
        <v>0</v>
      </c>
      <c r="AF358">
        <v>6</v>
      </c>
      <c r="AG358">
        <v>25</v>
      </c>
      <c r="AH358">
        <f>Table3[[#This Row],[Flies_per_Vial]]*Table3[[#This Row],[Vials_Total_UsedInMaze]]</f>
        <v>150</v>
      </c>
      <c r="AI358">
        <f>Table3[[#This Row],[total_Flies]]/Table3[[#This Row],[flies_in]]</f>
        <v>0.66</v>
      </c>
      <c r="AJ358">
        <v>0</v>
      </c>
      <c r="AK358" s="31">
        <f t="shared" si="48"/>
        <v>9.4166666666666661</v>
      </c>
      <c r="AL358" s="31">
        <f t="shared" si="49"/>
        <v>12.766666666666666</v>
      </c>
      <c r="AM358" s="31">
        <f>Table3[[#This Row],[end_time_num]]-Table3[[#This Row],[start_time_num]]</f>
        <v>3.3499999999999996</v>
      </c>
      <c r="AN358" s="19" t="s">
        <v>147</v>
      </c>
    </row>
    <row r="359" spans="1:40" x14ac:dyDescent="0.35">
      <c r="A359">
        <v>20</v>
      </c>
      <c r="B359" s="19">
        <v>2</v>
      </c>
      <c r="D359" t="s">
        <v>174</v>
      </c>
      <c r="E359" s="2">
        <v>0.3923611111111111</v>
      </c>
      <c r="F359" s="2">
        <v>0.53402777777777777</v>
      </c>
      <c r="G359" s="13">
        <v>0.14166666666666666</v>
      </c>
      <c r="H359" s="20" t="s">
        <v>136</v>
      </c>
      <c r="I359" s="19" t="s">
        <v>6</v>
      </c>
      <c r="J359">
        <v>3</v>
      </c>
      <c r="K359" s="19" t="s">
        <v>1</v>
      </c>
      <c r="L359" s="14" t="s">
        <v>0</v>
      </c>
      <c r="M359">
        <v>13</v>
      </c>
      <c r="N359">
        <v>16</v>
      </c>
      <c r="O359">
        <v>10</v>
      </c>
      <c r="P359">
        <v>14</v>
      </c>
      <c r="Q359">
        <v>10</v>
      </c>
      <c r="R359">
        <v>11</v>
      </c>
      <c r="S359">
        <v>5</v>
      </c>
      <c r="T359">
        <v>4</v>
      </c>
      <c r="U359">
        <v>0</v>
      </c>
      <c r="V359">
        <v>3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 s="18">
        <f>SUMPRODUCT(OG_Data!D$1:S$1, M359:AB359) /SUM(M359:AB359)</f>
        <v>4.0804597701149428</v>
      </c>
      <c r="AD359">
        <f t="shared" si="47"/>
        <v>87</v>
      </c>
      <c r="AE359">
        <v>0</v>
      </c>
      <c r="AF359">
        <v>5</v>
      </c>
      <c r="AG359">
        <v>25</v>
      </c>
      <c r="AH359">
        <f>Table3[[#This Row],[Flies_per_Vial]]*Table3[[#This Row],[Vials_Total_UsedInMaze]]</f>
        <v>125</v>
      </c>
      <c r="AI359">
        <f>Table3[[#This Row],[total_Flies]]/Table3[[#This Row],[flies_in]]</f>
        <v>0.69599999999999995</v>
      </c>
      <c r="AJ359">
        <v>0</v>
      </c>
      <c r="AK359" s="31">
        <f t="shared" si="48"/>
        <v>9.4166666666666661</v>
      </c>
      <c r="AL359" s="31">
        <f t="shared" si="49"/>
        <v>12.816666666666666</v>
      </c>
      <c r="AM359" s="31">
        <f>Table3[[#This Row],[end_time_num]]-Table3[[#This Row],[start_time_num]]</f>
        <v>3.4000000000000004</v>
      </c>
      <c r="AN359" s="19" t="s">
        <v>147</v>
      </c>
    </row>
    <row r="360" spans="1:40" x14ac:dyDescent="0.35">
      <c r="A360">
        <v>20</v>
      </c>
      <c r="B360" s="19">
        <v>2</v>
      </c>
      <c r="D360" t="s">
        <v>174</v>
      </c>
      <c r="E360" s="2">
        <v>0.55625000000000002</v>
      </c>
      <c r="F360" s="2">
        <v>0.69097222222222221</v>
      </c>
      <c r="G360" s="13">
        <v>0.13472222222222219</v>
      </c>
      <c r="H360" s="20" t="s">
        <v>142</v>
      </c>
      <c r="I360" s="19" t="s">
        <v>6</v>
      </c>
      <c r="J360">
        <v>4</v>
      </c>
      <c r="K360" s="19" t="s">
        <v>5</v>
      </c>
      <c r="L360" s="14" t="s">
        <v>0</v>
      </c>
      <c r="M360">
        <v>19</v>
      </c>
      <c r="N360">
        <v>9</v>
      </c>
      <c r="O360">
        <v>9</v>
      </c>
      <c r="P360">
        <v>6</v>
      </c>
      <c r="Q360">
        <v>4</v>
      </c>
      <c r="R360">
        <v>4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2</v>
      </c>
      <c r="AB360">
        <v>2</v>
      </c>
      <c r="AC360" s="18">
        <f>SUMPRODUCT(OG_Data!D$1:S$1, M360:AB360) /SUM(M360:AB360)</f>
        <v>3.9137931034482758</v>
      </c>
      <c r="AD360">
        <f t="shared" si="47"/>
        <v>58</v>
      </c>
      <c r="AE360">
        <v>0</v>
      </c>
      <c r="AF360">
        <v>5</v>
      </c>
      <c r="AG360">
        <v>25</v>
      </c>
      <c r="AH360">
        <f>Table3[[#This Row],[Flies_per_Vial]]*Table3[[#This Row],[Vials_Total_UsedInMaze]]</f>
        <v>125</v>
      </c>
      <c r="AI360">
        <f>Table3[[#This Row],[total_Flies]]/Table3[[#This Row],[flies_in]]</f>
        <v>0.46400000000000002</v>
      </c>
      <c r="AJ360">
        <v>0</v>
      </c>
      <c r="AK360" s="31">
        <f t="shared" si="48"/>
        <v>13.350000000000001</v>
      </c>
      <c r="AL360" s="31">
        <f t="shared" si="49"/>
        <v>16.583333333333332</v>
      </c>
      <c r="AM360" s="31">
        <f>Table3[[#This Row],[end_time_num]]-Table3[[#This Row],[start_time_num]]</f>
        <v>3.2333333333333307</v>
      </c>
      <c r="AN360" s="19" t="s">
        <v>147</v>
      </c>
    </row>
    <row r="361" spans="1:40" x14ac:dyDescent="0.35">
      <c r="A361">
        <v>20</v>
      </c>
      <c r="B361" s="19">
        <v>2</v>
      </c>
      <c r="D361" t="s">
        <v>174</v>
      </c>
      <c r="E361" s="2">
        <v>0.55625000000000002</v>
      </c>
      <c r="F361" s="2">
        <v>0.69513888888888886</v>
      </c>
      <c r="G361" s="13">
        <v>0.13888888888888884</v>
      </c>
      <c r="H361" s="20" t="s">
        <v>142</v>
      </c>
      <c r="I361" s="19" t="s">
        <v>6</v>
      </c>
      <c r="J361">
        <v>4</v>
      </c>
      <c r="K361" s="19" t="s">
        <v>4</v>
      </c>
      <c r="L361" s="14" t="s">
        <v>3</v>
      </c>
      <c r="M361">
        <v>8</v>
      </c>
      <c r="N361">
        <v>7</v>
      </c>
      <c r="O361">
        <v>8</v>
      </c>
      <c r="P361">
        <v>17</v>
      </c>
      <c r="Q361">
        <v>11</v>
      </c>
      <c r="R361">
        <v>13</v>
      </c>
      <c r="S361">
        <v>10</v>
      </c>
      <c r="T361">
        <v>2</v>
      </c>
      <c r="U361">
        <v>2</v>
      </c>
      <c r="V361">
        <v>6</v>
      </c>
      <c r="W361">
        <v>1</v>
      </c>
      <c r="X361">
        <v>1</v>
      </c>
      <c r="Y361">
        <v>4</v>
      </c>
      <c r="Z361">
        <v>0</v>
      </c>
      <c r="AA361">
        <v>2</v>
      </c>
      <c r="AB361">
        <v>0</v>
      </c>
      <c r="AC361" s="18">
        <f>SUMPRODUCT(OG_Data!D$1:S$1, M361:AB361) /SUM(M361:AB361)</f>
        <v>5.6086956521739131</v>
      </c>
      <c r="AD361">
        <f t="shared" si="47"/>
        <v>92</v>
      </c>
      <c r="AE361">
        <v>0</v>
      </c>
      <c r="AF361">
        <v>6</v>
      </c>
      <c r="AG361">
        <v>25</v>
      </c>
      <c r="AH361">
        <f>Table3[[#This Row],[Flies_per_Vial]]*Table3[[#This Row],[Vials_Total_UsedInMaze]]</f>
        <v>150</v>
      </c>
      <c r="AI361">
        <f>Table3[[#This Row],[total_Flies]]/Table3[[#This Row],[flies_in]]</f>
        <v>0.61333333333333329</v>
      </c>
      <c r="AJ361">
        <v>0</v>
      </c>
      <c r="AK361" s="31">
        <f t="shared" si="48"/>
        <v>13.350000000000001</v>
      </c>
      <c r="AL361" s="31">
        <f t="shared" si="49"/>
        <v>16.683333333333334</v>
      </c>
      <c r="AM361" s="31">
        <f>Table3[[#This Row],[end_time_num]]-Table3[[#This Row],[start_time_num]]</f>
        <v>3.3333333333333321</v>
      </c>
      <c r="AN361" s="19" t="s">
        <v>147</v>
      </c>
    </row>
    <row r="362" spans="1:40" x14ac:dyDescent="0.35">
      <c r="A362">
        <v>20</v>
      </c>
      <c r="B362" s="19">
        <v>2</v>
      </c>
      <c r="D362" t="s">
        <v>174</v>
      </c>
      <c r="E362" s="2">
        <v>0.55625000000000002</v>
      </c>
      <c r="F362" s="2">
        <v>0.69097222222222221</v>
      </c>
      <c r="G362" s="13">
        <v>0.13472222222222219</v>
      </c>
      <c r="H362" s="20" t="s">
        <v>142</v>
      </c>
      <c r="I362" s="19" t="s">
        <v>6</v>
      </c>
      <c r="J362">
        <v>4</v>
      </c>
      <c r="K362" s="19" t="s">
        <v>2</v>
      </c>
      <c r="L362" s="14" t="s">
        <v>3</v>
      </c>
      <c r="M362">
        <v>18</v>
      </c>
      <c r="N362">
        <v>15</v>
      </c>
      <c r="O362">
        <v>14</v>
      </c>
      <c r="P362">
        <v>2</v>
      </c>
      <c r="Q362">
        <v>5</v>
      </c>
      <c r="R362">
        <v>8</v>
      </c>
      <c r="S362">
        <v>2</v>
      </c>
      <c r="T362">
        <v>4</v>
      </c>
      <c r="U362">
        <v>2</v>
      </c>
      <c r="V362">
        <v>0</v>
      </c>
      <c r="W362">
        <v>3</v>
      </c>
      <c r="X362">
        <v>1</v>
      </c>
      <c r="Y362">
        <v>0</v>
      </c>
      <c r="Z362">
        <v>0</v>
      </c>
      <c r="AA362">
        <v>0</v>
      </c>
      <c r="AB362">
        <v>0</v>
      </c>
      <c r="AC362" s="18">
        <f>SUMPRODUCT(OG_Data!D$1:S$1, M362:AB362) /SUM(M362:AB362)</f>
        <v>3.7837837837837838</v>
      </c>
      <c r="AD362">
        <f t="shared" si="47"/>
        <v>74</v>
      </c>
      <c r="AE362">
        <v>0</v>
      </c>
      <c r="AF362">
        <v>6</v>
      </c>
      <c r="AG362">
        <v>25</v>
      </c>
      <c r="AH362">
        <f>Table3[[#This Row],[Flies_per_Vial]]*Table3[[#This Row],[Vials_Total_UsedInMaze]]</f>
        <v>150</v>
      </c>
      <c r="AI362">
        <f>Table3[[#This Row],[total_Flies]]/Table3[[#This Row],[flies_in]]</f>
        <v>0.49333333333333335</v>
      </c>
      <c r="AJ362">
        <v>0</v>
      </c>
      <c r="AK362" s="31">
        <f t="shared" si="48"/>
        <v>13.350000000000001</v>
      </c>
      <c r="AL362" s="31">
        <f t="shared" si="49"/>
        <v>16.583333333333332</v>
      </c>
      <c r="AM362" s="31">
        <f>Table3[[#This Row],[end_time_num]]-Table3[[#This Row],[start_time_num]]</f>
        <v>3.2333333333333307</v>
      </c>
      <c r="AN362" s="19" t="s">
        <v>147</v>
      </c>
    </row>
    <row r="363" spans="1:40" x14ac:dyDescent="0.35">
      <c r="A363">
        <v>20</v>
      </c>
      <c r="B363" s="19">
        <v>2</v>
      </c>
      <c r="D363" t="s">
        <v>174</v>
      </c>
      <c r="E363" s="2">
        <v>0.55625000000000002</v>
      </c>
      <c r="F363" s="2">
        <v>0.6875</v>
      </c>
      <c r="G363" s="13">
        <v>0.13124999999999998</v>
      </c>
      <c r="H363" s="20" t="s">
        <v>142</v>
      </c>
      <c r="I363" s="19" t="s">
        <v>6</v>
      </c>
      <c r="J363">
        <v>4</v>
      </c>
      <c r="K363" s="19" t="s">
        <v>1</v>
      </c>
      <c r="L363" s="14" t="s">
        <v>0</v>
      </c>
      <c r="M363">
        <v>28</v>
      </c>
      <c r="N363">
        <v>27</v>
      </c>
      <c r="O363">
        <v>12</v>
      </c>
      <c r="P363">
        <v>15</v>
      </c>
      <c r="Q363">
        <v>15</v>
      </c>
      <c r="R363">
        <v>5</v>
      </c>
      <c r="S363">
        <v>1</v>
      </c>
      <c r="T363">
        <v>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s="18">
        <f>SUMPRODUCT(OG_Data!D$1:S$1, M363:AB363) /SUM(M363:AB363)</f>
        <v>3.2321428571428572</v>
      </c>
      <c r="AD363">
        <f t="shared" si="47"/>
        <v>112</v>
      </c>
      <c r="AE363">
        <v>0</v>
      </c>
      <c r="AF363">
        <v>6</v>
      </c>
      <c r="AG363">
        <v>25</v>
      </c>
      <c r="AH363">
        <f>Table3[[#This Row],[Flies_per_Vial]]*Table3[[#This Row],[Vials_Total_UsedInMaze]]</f>
        <v>150</v>
      </c>
      <c r="AI363">
        <f>Table3[[#This Row],[total_Flies]]/Table3[[#This Row],[flies_in]]</f>
        <v>0.7466666666666667</v>
      </c>
      <c r="AJ363">
        <v>0</v>
      </c>
      <c r="AK363" s="31">
        <f t="shared" si="48"/>
        <v>13.350000000000001</v>
      </c>
      <c r="AL363" s="31">
        <f t="shared" si="49"/>
        <v>16.5</v>
      </c>
      <c r="AM363" s="31">
        <f>Table3[[#This Row],[end_time_num]]-Table3[[#This Row],[start_time_num]]</f>
        <v>3.1499999999999986</v>
      </c>
      <c r="AN363" s="19" t="s">
        <v>147</v>
      </c>
    </row>
    <row r="364" spans="1:40" x14ac:dyDescent="0.35">
      <c r="A364">
        <v>20</v>
      </c>
      <c r="B364" s="19">
        <v>3</v>
      </c>
      <c r="D364" t="s">
        <v>175</v>
      </c>
      <c r="E364" s="2">
        <v>0.40486111111111112</v>
      </c>
      <c r="F364" s="2">
        <v>0.47916666666666669</v>
      </c>
      <c r="G364" s="13">
        <v>7.4305555555555569E-2</v>
      </c>
      <c r="H364" s="20" t="s">
        <v>136</v>
      </c>
      <c r="I364" t="s">
        <v>2</v>
      </c>
      <c r="J364">
        <v>1</v>
      </c>
      <c r="K364" s="19" t="s">
        <v>4</v>
      </c>
      <c r="L364" s="14" t="s">
        <v>3</v>
      </c>
      <c r="M364">
        <v>2</v>
      </c>
      <c r="N364">
        <v>1</v>
      </c>
      <c r="O364">
        <v>0</v>
      </c>
      <c r="P364">
        <v>0</v>
      </c>
      <c r="Q364">
        <v>2</v>
      </c>
      <c r="R364">
        <v>4</v>
      </c>
      <c r="S364">
        <v>4</v>
      </c>
      <c r="T364">
        <v>6</v>
      </c>
      <c r="U364">
        <v>6</v>
      </c>
      <c r="V364">
        <v>4</v>
      </c>
      <c r="W364">
        <v>6</v>
      </c>
      <c r="X364">
        <v>3</v>
      </c>
      <c r="Y364">
        <v>5</v>
      </c>
      <c r="Z364">
        <v>4</v>
      </c>
      <c r="AA364">
        <v>4</v>
      </c>
      <c r="AB364">
        <v>1</v>
      </c>
      <c r="AC364" s="18">
        <f>SUMPRODUCT(OG_Data!D$1:S$1, M364:AB364) /SUM(M364:AB364)</f>
        <v>9.75</v>
      </c>
      <c r="AD364">
        <f t="shared" ref="AD364:AD392" si="50">SUM(M364:AB364)</f>
        <v>52</v>
      </c>
      <c r="AE364">
        <v>0</v>
      </c>
      <c r="AF364">
        <v>4</v>
      </c>
      <c r="AG364">
        <v>25</v>
      </c>
      <c r="AH364">
        <f>Table3[[#This Row],[Flies_per_Vial]]*Table3[[#This Row],[Vials_Total_UsedInMaze]]</f>
        <v>100</v>
      </c>
      <c r="AI364">
        <f>Table3[[#This Row],[total_Flies]]/Table3[[#This Row],[flies_in]]</f>
        <v>0.52</v>
      </c>
      <c r="AJ364">
        <v>2</v>
      </c>
      <c r="AK364" s="31">
        <f t="shared" ref="AK364:AK392" si="51">24*E364</f>
        <v>9.7166666666666668</v>
      </c>
      <c r="AL364" s="31">
        <f t="shared" ref="AL364:AL392" si="52">24*F364</f>
        <v>11.5</v>
      </c>
      <c r="AM364" s="31">
        <f>Table3[[#This Row],[end_time_num]]-Table3[[#This Row],[start_time_num]]</f>
        <v>1.7833333333333332</v>
      </c>
      <c r="AN364" t="s">
        <v>148</v>
      </c>
    </row>
    <row r="365" spans="1:40" x14ac:dyDescent="0.35">
      <c r="A365">
        <v>20</v>
      </c>
      <c r="B365" s="19">
        <v>3</v>
      </c>
      <c r="D365" t="s">
        <v>175</v>
      </c>
      <c r="E365" s="2">
        <v>0.40486111111111112</v>
      </c>
      <c r="F365" s="2">
        <v>0.4861111111111111</v>
      </c>
      <c r="G365" s="13">
        <v>8.1249999999999989E-2</v>
      </c>
      <c r="H365" s="20" t="s">
        <v>136</v>
      </c>
      <c r="I365" t="s">
        <v>2</v>
      </c>
      <c r="J365">
        <v>1</v>
      </c>
      <c r="K365" s="19" t="s">
        <v>2</v>
      </c>
      <c r="L365" s="14" t="s">
        <v>3</v>
      </c>
      <c r="M365">
        <v>1</v>
      </c>
      <c r="N365">
        <v>4</v>
      </c>
      <c r="O365">
        <v>10</v>
      </c>
      <c r="P365">
        <v>1</v>
      </c>
      <c r="Q365">
        <v>3</v>
      </c>
      <c r="R365">
        <v>5</v>
      </c>
      <c r="S365">
        <v>4</v>
      </c>
      <c r="T365">
        <v>9</v>
      </c>
      <c r="U365">
        <v>16</v>
      </c>
      <c r="V365">
        <v>7</v>
      </c>
      <c r="W365">
        <v>12</v>
      </c>
      <c r="X365">
        <v>5</v>
      </c>
      <c r="Y365">
        <v>7</v>
      </c>
      <c r="Z365">
        <v>2</v>
      </c>
      <c r="AA365">
        <v>5</v>
      </c>
      <c r="AB365">
        <v>3</v>
      </c>
      <c r="AC365" s="18">
        <f>SUMPRODUCT(OG_Data!D$1:S$1, M365:AB365) /SUM(M365:AB365)</f>
        <v>8.8936170212765955</v>
      </c>
      <c r="AD365">
        <f t="shared" si="50"/>
        <v>94</v>
      </c>
      <c r="AE365">
        <v>0</v>
      </c>
      <c r="AF365">
        <v>5</v>
      </c>
      <c r="AG365">
        <v>25</v>
      </c>
      <c r="AH365">
        <f>Table3[[#This Row],[Flies_per_Vial]]*Table3[[#This Row],[Vials_Total_UsedInMaze]]</f>
        <v>125</v>
      </c>
      <c r="AI365">
        <f>Table3[[#This Row],[total_Flies]]/Table3[[#This Row],[flies_in]]</f>
        <v>0.752</v>
      </c>
      <c r="AJ365">
        <v>2</v>
      </c>
      <c r="AK365" s="31">
        <f t="shared" si="51"/>
        <v>9.7166666666666668</v>
      </c>
      <c r="AL365" s="31">
        <f t="shared" si="52"/>
        <v>11.666666666666666</v>
      </c>
      <c r="AM365" s="31">
        <f>Table3[[#This Row],[end_time_num]]-Table3[[#This Row],[start_time_num]]</f>
        <v>1.9499999999999993</v>
      </c>
      <c r="AN365" t="s">
        <v>148</v>
      </c>
    </row>
    <row r="366" spans="1:40" x14ac:dyDescent="0.35">
      <c r="A366">
        <v>20</v>
      </c>
      <c r="B366" s="19">
        <v>3</v>
      </c>
      <c r="D366" t="s">
        <v>175</v>
      </c>
      <c r="E366" s="2">
        <v>0.40486111111111112</v>
      </c>
      <c r="F366" s="2">
        <v>0.49305555555555558</v>
      </c>
      <c r="G366" s="13">
        <v>8.8194444444444464E-2</v>
      </c>
      <c r="H366" s="20" t="s">
        <v>136</v>
      </c>
      <c r="I366" t="s">
        <v>2</v>
      </c>
      <c r="J366">
        <v>1</v>
      </c>
      <c r="K366" s="19" t="s">
        <v>1</v>
      </c>
      <c r="L366" s="14" t="s">
        <v>0</v>
      </c>
      <c r="M366">
        <v>7</v>
      </c>
      <c r="N366">
        <v>15</v>
      </c>
      <c r="O366">
        <v>8</v>
      </c>
      <c r="P366">
        <v>7</v>
      </c>
      <c r="Q366">
        <v>11</v>
      </c>
      <c r="R366">
        <v>14</v>
      </c>
      <c r="S366">
        <v>4</v>
      </c>
      <c r="T366">
        <v>15</v>
      </c>
      <c r="U366">
        <v>11</v>
      </c>
      <c r="V366">
        <v>0</v>
      </c>
      <c r="W366">
        <v>9</v>
      </c>
      <c r="X366">
        <v>7</v>
      </c>
      <c r="Y366">
        <v>4</v>
      </c>
      <c r="Z366">
        <v>1</v>
      </c>
      <c r="AA366">
        <v>0</v>
      </c>
      <c r="AB366">
        <v>0</v>
      </c>
      <c r="AC366" s="18">
        <f>SUMPRODUCT(OG_Data!D$1:S$1, M366:AB366) /SUM(M366:AB366)</f>
        <v>6.4070796460176993</v>
      </c>
      <c r="AD366">
        <f t="shared" si="50"/>
        <v>113</v>
      </c>
      <c r="AE366">
        <v>0</v>
      </c>
      <c r="AF366">
        <v>7</v>
      </c>
      <c r="AG366">
        <v>25</v>
      </c>
      <c r="AH366">
        <f>Table3[[#This Row],[Flies_per_Vial]]*Table3[[#This Row],[Vials_Total_UsedInMaze]]</f>
        <v>175</v>
      </c>
      <c r="AI366">
        <f>Table3[[#This Row],[total_Flies]]/Table3[[#This Row],[flies_in]]</f>
        <v>0.64571428571428569</v>
      </c>
      <c r="AJ366">
        <v>0</v>
      </c>
      <c r="AK366" s="31">
        <f t="shared" si="51"/>
        <v>9.7166666666666668</v>
      </c>
      <c r="AL366" s="31">
        <f t="shared" si="52"/>
        <v>11.833333333333334</v>
      </c>
      <c r="AM366" s="31">
        <f>Table3[[#This Row],[end_time_num]]-Table3[[#This Row],[start_time_num]]</f>
        <v>2.1166666666666671</v>
      </c>
      <c r="AN366" t="s">
        <v>148</v>
      </c>
    </row>
    <row r="367" spans="1:40" x14ac:dyDescent="0.35">
      <c r="A367">
        <v>20</v>
      </c>
      <c r="B367" s="19">
        <v>3</v>
      </c>
      <c r="D367" t="s">
        <v>175</v>
      </c>
      <c r="E367" s="2">
        <v>0.51527777777777772</v>
      </c>
      <c r="F367" s="2">
        <v>0.67152777777777772</v>
      </c>
      <c r="G367" s="13">
        <v>0.15625</v>
      </c>
      <c r="H367" s="20" t="s">
        <v>136</v>
      </c>
      <c r="I367" t="s">
        <v>2</v>
      </c>
      <c r="J367">
        <v>2</v>
      </c>
      <c r="K367" s="19" t="s">
        <v>4</v>
      </c>
      <c r="L367" s="14" t="s">
        <v>3</v>
      </c>
      <c r="M367">
        <v>2</v>
      </c>
      <c r="N367">
        <v>1</v>
      </c>
      <c r="O367">
        <v>2</v>
      </c>
      <c r="P367">
        <v>1</v>
      </c>
      <c r="Q367">
        <v>4</v>
      </c>
      <c r="R367">
        <v>4</v>
      </c>
      <c r="S367">
        <v>5</v>
      </c>
      <c r="T367">
        <v>11</v>
      </c>
      <c r="U367">
        <v>4</v>
      </c>
      <c r="V367">
        <v>5</v>
      </c>
      <c r="W367">
        <v>4</v>
      </c>
      <c r="X367">
        <v>9</v>
      </c>
      <c r="Y367">
        <v>5</v>
      </c>
      <c r="Z367">
        <v>4</v>
      </c>
      <c r="AA367">
        <v>5</v>
      </c>
      <c r="AB367">
        <v>0</v>
      </c>
      <c r="AC367" s="18">
        <f>SUMPRODUCT(OG_Data!D$1:S$1, M367:AB367) /SUM(M367:AB367)</f>
        <v>9.3181818181818183</v>
      </c>
      <c r="AD367">
        <f t="shared" si="50"/>
        <v>66</v>
      </c>
      <c r="AE367">
        <v>0</v>
      </c>
      <c r="AF367">
        <v>6</v>
      </c>
      <c r="AG367">
        <v>25</v>
      </c>
      <c r="AH367">
        <f>Table3[[#This Row],[Flies_per_Vial]]*Table3[[#This Row],[Vials_Total_UsedInMaze]]</f>
        <v>150</v>
      </c>
      <c r="AI367">
        <f>Table3[[#This Row],[total_Flies]]/Table3[[#This Row],[flies_in]]</f>
        <v>0.44</v>
      </c>
      <c r="AJ367">
        <v>0</v>
      </c>
      <c r="AK367" s="31">
        <f t="shared" si="51"/>
        <v>12.366666666666665</v>
      </c>
      <c r="AL367" s="31">
        <f t="shared" si="52"/>
        <v>16.116666666666667</v>
      </c>
      <c r="AM367" s="31">
        <f>Table3[[#This Row],[end_time_num]]-Table3[[#This Row],[start_time_num]]</f>
        <v>3.7500000000000018</v>
      </c>
      <c r="AN367" t="s">
        <v>148</v>
      </c>
    </row>
    <row r="368" spans="1:40" x14ac:dyDescent="0.35">
      <c r="A368">
        <v>20</v>
      </c>
      <c r="B368" s="19">
        <v>3</v>
      </c>
      <c r="D368" t="s">
        <v>175</v>
      </c>
      <c r="E368" s="2">
        <v>0.51527777777777772</v>
      </c>
      <c r="F368" s="2">
        <v>0.68125000000000002</v>
      </c>
      <c r="G368" s="13">
        <v>0.1659722222222223</v>
      </c>
      <c r="H368" s="20" t="s">
        <v>136</v>
      </c>
      <c r="I368" t="s">
        <v>2</v>
      </c>
      <c r="J368">
        <v>2</v>
      </c>
      <c r="K368" s="19" t="s">
        <v>2</v>
      </c>
      <c r="L368" s="14" t="s">
        <v>3</v>
      </c>
      <c r="M368">
        <v>6</v>
      </c>
      <c r="N368">
        <v>3</v>
      </c>
      <c r="O368">
        <v>19</v>
      </c>
      <c r="P368">
        <v>5</v>
      </c>
      <c r="Q368">
        <v>6</v>
      </c>
      <c r="R368">
        <v>8</v>
      </c>
      <c r="S368">
        <v>7</v>
      </c>
      <c r="T368">
        <v>9</v>
      </c>
      <c r="U368">
        <v>6</v>
      </c>
      <c r="V368">
        <v>2</v>
      </c>
      <c r="W368">
        <v>8</v>
      </c>
      <c r="X368">
        <v>2</v>
      </c>
      <c r="Y368">
        <v>6</v>
      </c>
      <c r="Z368">
        <v>5</v>
      </c>
      <c r="AA368">
        <v>2</v>
      </c>
      <c r="AB368">
        <v>0</v>
      </c>
      <c r="AC368" s="18">
        <f>SUMPRODUCT(OG_Data!D$1:S$1, M368:AB368) /SUM(M368:AB368)</f>
        <v>6.9361702127659575</v>
      </c>
      <c r="AD368">
        <f t="shared" si="50"/>
        <v>94</v>
      </c>
      <c r="AE368">
        <v>0</v>
      </c>
      <c r="AF368">
        <v>6</v>
      </c>
      <c r="AG368">
        <v>25</v>
      </c>
      <c r="AH368">
        <f>Table3[[#This Row],[Flies_per_Vial]]*Table3[[#This Row],[Vials_Total_UsedInMaze]]</f>
        <v>150</v>
      </c>
      <c r="AI368">
        <f>Table3[[#This Row],[total_Flies]]/Table3[[#This Row],[flies_in]]</f>
        <v>0.62666666666666671</v>
      </c>
      <c r="AJ368">
        <v>0</v>
      </c>
      <c r="AK368" s="31">
        <f t="shared" si="51"/>
        <v>12.366666666666665</v>
      </c>
      <c r="AL368" s="31">
        <f t="shared" si="52"/>
        <v>16.350000000000001</v>
      </c>
      <c r="AM368" s="31">
        <f>Table3[[#This Row],[end_time_num]]-Table3[[#This Row],[start_time_num]]</f>
        <v>3.9833333333333361</v>
      </c>
      <c r="AN368" t="s">
        <v>148</v>
      </c>
    </row>
    <row r="369" spans="1:40" x14ac:dyDescent="0.35">
      <c r="A369">
        <v>20</v>
      </c>
      <c r="B369" s="19">
        <v>3</v>
      </c>
      <c r="D369" t="s">
        <v>175</v>
      </c>
      <c r="E369" s="2">
        <v>0.51527777777777772</v>
      </c>
      <c r="F369" s="2">
        <v>0.6875</v>
      </c>
      <c r="G369" s="13">
        <v>0.17222222222222228</v>
      </c>
      <c r="H369" s="20" t="s">
        <v>136</v>
      </c>
      <c r="I369" t="s">
        <v>2</v>
      </c>
      <c r="J369">
        <v>2</v>
      </c>
      <c r="K369" s="19" t="s">
        <v>1</v>
      </c>
      <c r="L369" s="14" t="s">
        <v>0</v>
      </c>
      <c r="M369">
        <v>2</v>
      </c>
      <c r="N369">
        <v>4</v>
      </c>
      <c r="O369">
        <v>7</v>
      </c>
      <c r="P369">
        <v>5</v>
      </c>
      <c r="Q369">
        <v>16</v>
      </c>
      <c r="R369">
        <v>19</v>
      </c>
      <c r="S369">
        <v>12</v>
      </c>
      <c r="T369">
        <v>14</v>
      </c>
      <c r="U369">
        <v>12</v>
      </c>
      <c r="V369">
        <v>1</v>
      </c>
      <c r="W369">
        <v>10</v>
      </c>
      <c r="X369">
        <v>4</v>
      </c>
      <c r="Y369">
        <v>5</v>
      </c>
      <c r="Z369">
        <v>2</v>
      </c>
      <c r="AA369">
        <v>0</v>
      </c>
      <c r="AB369">
        <v>0</v>
      </c>
      <c r="AC369" s="18">
        <f>SUMPRODUCT(OG_Data!D$1:S$1, M369:AB369) /SUM(M369:AB369)</f>
        <v>7.168141592920354</v>
      </c>
      <c r="AD369">
        <f t="shared" si="50"/>
        <v>113</v>
      </c>
      <c r="AE369">
        <v>0</v>
      </c>
      <c r="AF369">
        <v>7</v>
      </c>
      <c r="AG369">
        <v>25</v>
      </c>
      <c r="AH369">
        <f>Table3[[#This Row],[Flies_per_Vial]]*Table3[[#This Row],[Vials_Total_UsedInMaze]]</f>
        <v>175</v>
      </c>
      <c r="AI369">
        <f>Table3[[#This Row],[total_Flies]]/Table3[[#This Row],[flies_in]]</f>
        <v>0.64571428571428569</v>
      </c>
      <c r="AJ369">
        <v>0</v>
      </c>
      <c r="AK369" s="31">
        <f t="shared" si="51"/>
        <v>12.366666666666665</v>
      </c>
      <c r="AL369" s="31">
        <f t="shared" si="52"/>
        <v>16.5</v>
      </c>
      <c r="AM369" s="31">
        <f>Table3[[#This Row],[end_time_num]]-Table3[[#This Row],[start_time_num]]</f>
        <v>4.1333333333333346</v>
      </c>
      <c r="AN369" t="s">
        <v>148</v>
      </c>
    </row>
    <row r="370" spans="1:40" x14ac:dyDescent="0.35">
      <c r="A370">
        <v>20</v>
      </c>
      <c r="B370">
        <v>4</v>
      </c>
      <c r="D370" t="s">
        <v>176</v>
      </c>
      <c r="E370" s="2">
        <v>0.36805555555555558</v>
      </c>
      <c r="F370" s="2">
        <v>0.4548611111111111</v>
      </c>
      <c r="G370" s="13">
        <v>8.6805555555555525E-2</v>
      </c>
      <c r="H370" s="20" t="s">
        <v>136</v>
      </c>
      <c r="I370" t="s">
        <v>2</v>
      </c>
      <c r="J370">
        <v>3</v>
      </c>
      <c r="K370" s="19" t="s">
        <v>5</v>
      </c>
      <c r="L370" s="14" t="s">
        <v>0</v>
      </c>
      <c r="M370">
        <v>0</v>
      </c>
      <c r="N370">
        <v>1</v>
      </c>
      <c r="O370">
        <v>0</v>
      </c>
      <c r="P370">
        <v>0</v>
      </c>
      <c r="Q370">
        <v>2</v>
      </c>
      <c r="R370">
        <v>1</v>
      </c>
      <c r="S370">
        <v>0</v>
      </c>
      <c r="T370">
        <v>1</v>
      </c>
      <c r="U370">
        <v>3</v>
      </c>
      <c r="V370">
        <v>7</v>
      </c>
      <c r="W370">
        <v>12</v>
      </c>
      <c r="X370">
        <v>3</v>
      </c>
      <c r="Y370">
        <v>8</v>
      </c>
      <c r="Z370">
        <v>1</v>
      </c>
      <c r="AA370">
        <v>14</v>
      </c>
      <c r="AB370">
        <v>2</v>
      </c>
      <c r="AC370" s="18">
        <f>SUMPRODUCT(OG_Data!D$1:S$1, M370:AB370) /SUM(M370:AB370)</f>
        <v>11.836363636363636</v>
      </c>
      <c r="AD370">
        <f t="shared" si="50"/>
        <v>55</v>
      </c>
      <c r="AE370">
        <v>0</v>
      </c>
      <c r="AF370">
        <v>3</v>
      </c>
      <c r="AG370">
        <v>25</v>
      </c>
      <c r="AH370">
        <f>Table3[[#This Row],[Flies_per_Vial]]*Table3[[#This Row],[Vials_Total_UsedInMaze]]</f>
        <v>75</v>
      </c>
      <c r="AI370">
        <f>Table3[[#This Row],[total_Flies]]/Table3[[#This Row],[flies_in]]</f>
        <v>0.73333333333333328</v>
      </c>
      <c r="AJ370">
        <v>0</v>
      </c>
      <c r="AK370" s="31">
        <f t="shared" si="51"/>
        <v>8.8333333333333339</v>
      </c>
      <c r="AL370" s="31">
        <f t="shared" si="52"/>
        <v>10.916666666666666</v>
      </c>
      <c r="AM370" s="31">
        <f>Table3[[#This Row],[end_time_num]]-Table3[[#This Row],[start_time_num]]</f>
        <v>2.0833333333333321</v>
      </c>
      <c r="AN370" t="s">
        <v>148</v>
      </c>
    </row>
    <row r="371" spans="1:40" x14ac:dyDescent="0.35">
      <c r="A371">
        <v>20</v>
      </c>
      <c r="B371">
        <v>4</v>
      </c>
      <c r="D371" t="s">
        <v>176</v>
      </c>
      <c r="E371" s="2">
        <v>0.36805555555555558</v>
      </c>
      <c r="F371" s="2">
        <v>0.46180555555555558</v>
      </c>
      <c r="G371" s="13">
        <v>9.375E-2</v>
      </c>
      <c r="H371" s="20" t="s">
        <v>136</v>
      </c>
      <c r="I371" t="s">
        <v>2</v>
      </c>
      <c r="J371">
        <v>3</v>
      </c>
      <c r="K371" s="19" t="s">
        <v>4</v>
      </c>
      <c r="L371" s="14" t="s">
        <v>3</v>
      </c>
      <c r="M371">
        <v>9</v>
      </c>
      <c r="N371">
        <v>3</v>
      </c>
      <c r="O371">
        <v>1</v>
      </c>
      <c r="P371">
        <v>0</v>
      </c>
      <c r="Q371">
        <v>2</v>
      </c>
      <c r="R371">
        <v>6</v>
      </c>
      <c r="S371">
        <v>11</v>
      </c>
      <c r="T371">
        <v>11</v>
      </c>
      <c r="U371">
        <v>5</v>
      </c>
      <c r="V371">
        <v>14</v>
      </c>
      <c r="W371">
        <v>12</v>
      </c>
      <c r="X371">
        <v>11</v>
      </c>
      <c r="Y371">
        <v>12</v>
      </c>
      <c r="Z371">
        <v>8</v>
      </c>
      <c r="AA371">
        <v>8</v>
      </c>
      <c r="AB371">
        <v>3</v>
      </c>
      <c r="AC371" s="18">
        <f>SUMPRODUCT(OG_Data!D$1:S$1, M371:AB371) /SUM(M371:AB371)</f>
        <v>9.6034482758620694</v>
      </c>
      <c r="AD371">
        <f t="shared" si="50"/>
        <v>116</v>
      </c>
      <c r="AE371">
        <v>0</v>
      </c>
      <c r="AF371">
        <v>6</v>
      </c>
      <c r="AG371">
        <v>25</v>
      </c>
      <c r="AH371">
        <f>Table3[[#This Row],[Flies_per_Vial]]*Table3[[#This Row],[Vials_Total_UsedInMaze]]</f>
        <v>150</v>
      </c>
      <c r="AI371">
        <f>Table3[[#This Row],[total_Flies]]/Table3[[#This Row],[flies_in]]</f>
        <v>0.77333333333333332</v>
      </c>
      <c r="AJ371">
        <v>0</v>
      </c>
      <c r="AK371" s="31">
        <f t="shared" si="51"/>
        <v>8.8333333333333339</v>
      </c>
      <c r="AL371" s="31">
        <f t="shared" si="52"/>
        <v>11.083333333333334</v>
      </c>
      <c r="AM371" s="31">
        <f>Table3[[#This Row],[end_time_num]]-Table3[[#This Row],[start_time_num]]</f>
        <v>2.25</v>
      </c>
      <c r="AN371" t="s">
        <v>148</v>
      </c>
    </row>
    <row r="372" spans="1:40" x14ac:dyDescent="0.35">
      <c r="A372">
        <v>20</v>
      </c>
      <c r="B372">
        <v>4</v>
      </c>
      <c r="D372" t="s">
        <v>176</v>
      </c>
      <c r="E372" s="2">
        <v>0.36805555555555558</v>
      </c>
      <c r="F372" s="2">
        <v>0.46597222222222223</v>
      </c>
      <c r="G372" s="13">
        <v>9.7916666666666652E-2</v>
      </c>
      <c r="H372" s="20" t="s">
        <v>136</v>
      </c>
      <c r="I372" t="s">
        <v>2</v>
      </c>
      <c r="J372">
        <v>3</v>
      </c>
      <c r="K372" s="19" t="s">
        <v>2</v>
      </c>
      <c r="L372" s="14" t="s">
        <v>3</v>
      </c>
      <c r="M372">
        <v>0</v>
      </c>
      <c r="N372">
        <v>0</v>
      </c>
      <c r="O372">
        <v>6</v>
      </c>
      <c r="P372">
        <v>2</v>
      </c>
      <c r="Q372">
        <v>1</v>
      </c>
      <c r="R372">
        <v>5</v>
      </c>
      <c r="S372">
        <v>3</v>
      </c>
      <c r="T372">
        <v>9</v>
      </c>
      <c r="U372">
        <v>13</v>
      </c>
      <c r="V372">
        <v>8</v>
      </c>
      <c r="W372">
        <v>1</v>
      </c>
      <c r="X372">
        <v>15</v>
      </c>
      <c r="Y372">
        <v>5</v>
      </c>
      <c r="Z372">
        <v>6</v>
      </c>
      <c r="AA372">
        <v>5</v>
      </c>
      <c r="AB372">
        <v>9</v>
      </c>
      <c r="AC372" s="18">
        <f>SUMPRODUCT(OG_Data!D$1:S$1, M372:AB372) /SUM(M372:AB372)</f>
        <v>10.340909090909092</v>
      </c>
      <c r="AD372">
        <f t="shared" si="50"/>
        <v>88</v>
      </c>
      <c r="AE372">
        <v>0</v>
      </c>
      <c r="AF372">
        <v>6</v>
      </c>
      <c r="AG372">
        <v>25</v>
      </c>
      <c r="AH372">
        <f>Table3[[#This Row],[Flies_per_Vial]]*Table3[[#This Row],[Vials_Total_UsedInMaze]]</f>
        <v>150</v>
      </c>
      <c r="AI372">
        <f>Table3[[#This Row],[total_Flies]]/Table3[[#This Row],[flies_in]]</f>
        <v>0.58666666666666667</v>
      </c>
      <c r="AJ372">
        <v>0</v>
      </c>
      <c r="AK372" s="31">
        <f t="shared" si="51"/>
        <v>8.8333333333333339</v>
      </c>
      <c r="AL372" s="31">
        <f t="shared" si="52"/>
        <v>11.183333333333334</v>
      </c>
      <c r="AM372" s="31">
        <f>Table3[[#This Row],[end_time_num]]-Table3[[#This Row],[start_time_num]]</f>
        <v>2.3499999999999996</v>
      </c>
      <c r="AN372" t="s">
        <v>148</v>
      </c>
    </row>
    <row r="373" spans="1:40" x14ac:dyDescent="0.35">
      <c r="A373">
        <v>20</v>
      </c>
      <c r="B373">
        <v>4</v>
      </c>
      <c r="D373" t="s">
        <v>176</v>
      </c>
      <c r="E373" s="2">
        <v>0.36805555555555558</v>
      </c>
      <c r="F373" s="2">
        <v>0.47222222222222221</v>
      </c>
      <c r="G373" s="13">
        <v>0.10416666666666663</v>
      </c>
      <c r="H373" s="20" t="s">
        <v>136</v>
      </c>
      <c r="I373" t="s">
        <v>2</v>
      </c>
      <c r="J373">
        <v>3</v>
      </c>
      <c r="K373" s="19" t="s">
        <v>1</v>
      </c>
      <c r="L373" s="14" t="s">
        <v>0</v>
      </c>
      <c r="M373">
        <v>0</v>
      </c>
      <c r="N373">
        <v>5</v>
      </c>
      <c r="O373">
        <v>8</v>
      </c>
      <c r="P373">
        <v>6</v>
      </c>
      <c r="Q373">
        <v>7</v>
      </c>
      <c r="R373">
        <v>9</v>
      </c>
      <c r="S373">
        <v>8</v>
      </c>
      <c r="T373">
        <v>9</v>
      </c>
      <c r="U373">
        <v>11</v>
      </c>
      <c r="V373">
        <v>1</v>
      </c>
      <c r="W373">
        <v>11</v>
      </c>
      <c r="X373">
        <v>8</v>
      </c>
      <c r="Y373">
        <v>8</v>
      </c>
      <c r="Z373">
        <v>9</v>
      </c>
      <c r="AA373">
        <v>3</v>
      </c>
      <c r="AB373">
        <v>1</v>
      </c>
      <c r="AC373" s="18">
        <f>SUMPRODUCT(OG_Data!D$1:S$1, M373:AB373) /SUM(M373:AB373)</f>
        <v>8.5769230769230766</v>
      </c>
      <c r="AD373">
        <f t="shared" si="50"/>
        <v>104</v>
      </c>
      <c r="AE373">
        <v>0</v>
      </c>
      <c r="AF373">
        <v>6</v>
      </c>
      <c r="AG373">
        <v>25</v>
      </c>
      <c r="AH373">
        <f>Table3[[#This Row],[Flies_per_Vial]]*Table3[[#This Row],[Vials_Total_UsedInMaze]]</f>
        <v>150</v>
      </c>
      <c r="AI373">
        <f>Table3[[#This Row],[total_Flies]]/Table3[[#This Row],[flies_in]]</f>
        <v>0.69333333333333336</v>
      </c>
      <c r="AJ373">
        <v>0</v>
      </c>
      <c r="AK373" s="31">
        <f t="shared" si="51"/>
        <v>8.8333333333333339</v>
      </c>
      <c r="AL373" s="31">
        <f t="shared" si="52"/>
        <v>11.333333333333332</v>
      </c>
      <c r="AM373" s="31">
        <f>Table3[[#This Row],[end_time_num]]-Table3[[#This Row],[start_time_num]]</f>
        <v>2.4999999999999982</v>
      </c>
      <c r="AN373" t="s">
        <v>148</v>
      </c>
    </row>
    <row r="374" spans="1:40" x14ac:dyDescent="0.35">
      <c r="A374">
        <v>20</v>
      </c>
      <c r="B374">
        <v>4</v>
      </c>
      <c r="D374" t="s">
        <v>176</v>
      </c>
      <c r="E374" s="2">
        <v>0.48958333333333331</v>
      </c>
      <c r="F374" s="2">
        <v>0.62638888888888888</v>
      </c>
      <c r="G374" s="13">
        <v>0.13680555555555557</v>
      </c>
      <c r="H374" s="20" t="s">
        <v>136</v>
      </c>
      <c r="I374" t="s">
        <v>2</v>
      </c>
      <c r="J374">
        <v>4</v>
      </c>
      <c r="K374" s="19" t="s">
        <v>4</v>
      </c>
      <c r="L374" s="14" t="s">
        <v>3</v>
      </c>
      <c r="M374">
        <v>4</v>
      </c>
      <c r="N374">
        <v>2</v>
      </c>
      <c r="O374">
        <v>2</v>
      </c>
      <c r="P374">
        <v>1</v>
      </c>
      <c r="Q374">
        <v>5</v>
      </c>
      <c r="R374">
        <v>6</v>
      </c>
      <c r="S374">
        <v>9</v>
      </c>
      <c r="T374">
        <v>12</v>
      </c>
      <c r="U374">
        <v>3</v>
      </c>
      <c r="V374">
        <v>7</v>
      </c>
      <c r="W374">
        <v>5</v>
      </c>
      <c r="X374">
        <v>11</v>
      </c>
      <c r="Y374">
        <v>9</v>
      </c>
      <c r="Z374">
        <v>10</v>
      </c>
      <c r="AA374">
        <v>2</v>
      </c>
      <c r="AB374">
        <v>1</v>
      </c>
      <c r="AC374" s="18">
        <f>SUMPRODUCT(OG_Data!D$1:S$1, M374:AB374) /SUM(M374:AB374)</f>
        <v>9.2696629213483153</v>
      </c>
      <c r="AD374">
        <f t="shared" si="50"/>
        <v>89</v>
      </c>
      <c r="AE374">
        <v>0</v>
      </c>
      <c r="AF374">
        <v>6</v>
      </c>
      <c r="AG374">
        <v>25</v>
      </c>
      <c r="AH374">
        <f>Table3[[#This Row],[Flies_per_Vial]]*Table3[[#This Row],[Vials_Total_UsedInMaze]]</f>
        <v>150</v>
      </c>
      <c r="AI374">
        <f>Table3[[#This Row],[total_Flies]]/Table3[[#This Row],[flies_in]]</f>
        <v>0.59333333333333338</v>
      </c>
      <c r="AJ374">
        <v>0</v>
      </c>
      <c r="AK374" s="31">
        <f t="shared" si="51"/>
        <v>11.75</v>
      </c>
      <c r="AL374" s="31">
        <f t="shared" si="52"/>
        <v>15.033333333333333</v>
      </c>
      <c r="AM374" s="31">
        <f>Table3[[#This Row],[end_time_num]]-Table3[[#This Row],[start_time_num]]</f>
        <v>3.2833333333333332</v>
      </c>
      <c r="AN374" t="s">
        <v>148</v>
      </c>
    </row>
    <row r="375" spans="1:40" x14ac:dyDescent="0.35">
      <c r="A375">
        <v>20</v>
      </c>
      <c r="B375">
        <v>4</v>
      </c>
      <c r="D375" t="s">
        <v>176</v>
      </c>
      <c r="E375" s="2">
        <v>0.48958333333333331</v>
      </c>
      <c r="F375" s="2">
        <v>0.63124999999999998</v>
      </c>
      <c r="G375" s="13">
        <v>0.14166666666666666</v>
      </c>
      <c r="H375" s="20" t="s">
        <v>136</v>
      </c>
      <c r="I375" t="s">
        <v>2</v>
      </c>
      <c r="J375">
        <v>4</v>
      </c>
      <c r="K375" s="19" t="s">
        <v>2</v>
      </c>
      <c r="L375" s="14" t="s">
        <v>3</v>
      </c>
      <c r="M375">
        <v>6</v>
      </c>
      <c r="N375">
        <v>7</v>
      </c>
      <c r="O375">
        <v>22</v>
      </c>
      <c r="P375">
        <v>1</v>
      </c>
      <c r="Q375">
        <v>2</v>
      </c>
      <c r="R375">
        <v>10</v>
      </c>
      <c r="S375">
        <v>4</v>
      </c>
      <c r="T375">
        <v>11</v>
      </c>
      <c r="U375">
        <v>11</v>
      </c>
      <c r="V375">
        <v>1</v>
      </c>
      <c r="W375">
        <v>13</v>
      </c>
      <c r="X375">
        <v>1</v>
      </c>
      <c r="Y375">
        <v>2</v>
      </c>
      <c r="Z375">
        <v>2</v>
      </c>
      <c r="AA375">
        <v>3</v>
      </c>
      <c r="AB375">
        <v>5</v>
      </c>
      <c r="AC375" s="18">
        <f>SUMPRODUCT(OG_Data!D$1:S$1, M375:AB375) /SUM(M375:AB375)</f>
        <v>7.1188118811881189</v>
      </c>
      <c r="AD375">
        <f t="shared" si="50"/>
        <v>101</v>
      </c>
      <c r="AE375">
        <v>0</v>
      </c>
      <c r="AF375">
        <v>6</v>
      </c>
      <c r="AG375">
        <v>25</v>
      </c>
      <c r="AH375">
        <f>Table3[[#This Row],[Flies_per_Vial]]*Table3[[#This Row],[Vials_Total_UsedInMaze]]</f>
        <v>150</v>
      </c>
      <c r="AI375">
        <f>Table3[[#This Row],[total_Flies]]/Table3[[#This Row],[flies_in]]</f>
        <v>0.67333333333333334</v>
      </c>
      <c r="AJ375">
        <v>0</v>
      </c>
      <c r="AK375" s="31">
        <f t="shared" si="51"/>
        <v>11.75</v>
      </c>
      <c r="AL375" s="31">
        <f t="shared" si="52"/>
        <v>15.149999999999999</v>
      </c>
      <c r="AM375" s="31">
        <f>Table3[[#This Row],[end_time_num]]-Table3[[#This Row],[start_time_num]]</f>
        <v>3.3999999999999986</v>
      </c>
      <c r="AN375" t="s">
        <v>148</v>
      </c>
    </row>
    <row r="376" spans="1:40" x14ac:dyDescent="0.35">
      <c r="A376">
        <v>20</v>
      </c>
      <c r="B376">
        <v>4</v>
      </c>
      <c r="D376" t="s">
        <v>176</v>
      </c>
      <c r="E376" s="2">
        <v>0.48958333333333331</v>
      </c>
      <c r="F376" s="2">
        <v>0.63611111111111107</v>
      </c>
      <c r="G376" s="13">
        <v>0.14652777777777776</v>
      </c>
      <c r="H376" s="20" t="s">
        <v>136</v>
      </c>
      <c r="I376" t="s">
        <v>2</v>
      </c>
      <c r="J376">
        <v>4</v>
      </c>
      <c r="K376" s="19" t="s">
        <v>1</v>
      </c>
      <c r="L376" s="14" t="s">
        <v>0</v>
      </c>
      <c r="M376">
        <v>2</v>
      </c>
      <c r="N376">
        <v>2</v>
      </c>
      <c r="O376">
        <v>10</v>
      </c>
      <c r="P376">
        <v>3</v>
      </c>
      <c r="Q376">
        <v>11</v>
      </c>
      <c r="R376">
        <v>10</v>
      </c>
      <c r="S376">
        <v>12</v>
      </c>
      <c r="T376">
        <v>11</v>
      </c>
      <c r="U376">
        <v>8</v>
      </c>
      <c r="V376">
        <v>2</v>
      </c>
      <c r="W376">
        <v>7</v>
      </c>
      <c r="X376">
        <v>4</v>
      </c>
      <c r="Y376">
        <v>2</v>
      </c>
      <c r="Z376">
        <v>2</v>
      </c>
      <c r="AA376">
        <v>0</v>
      </c>
      <c r="AB376">
        <v>0</v>
      </c>
      <c r="AC376" s="18">
        <f>SUMPRODUCT(OG_Data!D$1:S$1, M376:AB376) /SUM(M376:AB376)</f>
        <v>7.0465116279069768</v>
      </c>
      <c r="AD376">
        <f t="shared" si="50"/>
        <v>86</v>
      </c>
      <c r="AE376">
        <v>0</v>
      </c>
      <c r="AF376">
        <v>5</v>
      </c>
      <c r="AG376">
        <v>25</v>
      </c>
      <c r="AH376">
        <f>Table3[[#This Row],[Flies_per_Vial]]*Table3[[#This Row],[Vials_Total_UsedInMaze]]</f>
        <v>125</v>
      </c>
      <c r="AI376">
        <f>Table3[[#This Row],[total_Flies]]/Table3[[#This Row],[flies_in]]</f>
        <v>0.68799999999999994</v>
      </c>
      <c r="AJ376">
        <v>0</v>
      </c>
      <c r="AK376" s="31">
        <f t="shared" si="51"/>
        <v>11.75</v>
      </c>
      <c r="AL376" s="31">
        <f t="shared" si="52"/>
        <v>15.266666666666666</v>
      </c>
      <c r="AM376" s="31">
        <f>Table3[[#This Row],[end_time_num]]-Table3[[#This Row],[start_time_num]]</f>
        <v>3.5166666666666657</v>
      </c>
      <c r="AN376" t="s">
        <v>148</v>
      </c>
    </row>
    <row r="377" spans="1:40" x14ac:dyDescent="0.35">
      <c r="A377">
        <v>21</v>
      </c>
      <c r="B377">
        <v>1</v>
      </c>
      <c r="D377" t="s">
        <v>177</v>
      </c>
      <c r="E377" s="2">
        <v>0.40972222222222221</v>
      </c>
      <c r="F377" s="2">
        <v>0.52430555555555558</v>
      </c>
      <c r="G377" s="13">
        <v>0.11458333333333337</v>
      </c>
      <c r="H377" s="2" t="s">
        <v>136</v>
      </c>
      <c r="I377" t="s">
        <v>6</v>
      </c>
      <c r="J377">
        <v>1</v>
      </c>
      <c r="K377" t="s">
        <v>5</v>
      </c>
      <c r="L377" s="14" t="s">
        <v>3</v>
      </c>
      <c r="M377">
        <v>10</v>
      </c>
      <c r="N377">
        <v>6</v>
      </c>
      <c r="O377">
        <v>4</v>
      </c>
      <c r="P377">
        <v>3</v>
      </c>
      <c r="Q377">
        <v>5</v>
      </c>
      <c r="R377">
        <v>1</v>
      </c>
      <c r="S377">
        <v>1</v>
      </c>
      <c r="T377">
        <v>6</v>
      </c>
      <c r="U377">
        <v>6</v>
      </c>
      <c r="V377">
        <v>4</v>
      </c>
      <c r="W377">
        <v>9</v>
      </c>
      <c r="X377">
        <v>5</v>
      </c>
      <c r="Y377">
        <v>6</v>
      </c>
      <c r="Z377">
        <v>9</v>
      </c>
      <c r="AA377">
        <v>17</v>
      </c>
      <c r="AB377">
        <v>6</v>
      </c>
      <c r="AC377" s="18">
        <f>SUMPRODUCT(OG_Data!D$1:S$1, M377:AB377) /SUM(M377:AB377)</f>
        <v>9.591836734693878</v>
      </c>
      <c r="AD377">
        <f t="shared" si="50"/>
        <v>98</v>
      </c>
      <c r="AE377">
        <v>0</v>
      </c>
      <c r="AF377">
        <v>6</v>
      </c>
      <c r="AG377">
        <v>25</v>
      </c>
      <c r="AH377">
        <f>Table3[[#This Row],[Flies_per_Vial]]*Table3[[#This Row],[Vials_Total_UsedInMaze]]</f>
        <v>150</v>
      </c>
      <c r="AI377">
        <f>Table3[[#This Row],[total_Flies]]/Table3[[#This Row],[flies_in]]</f>
        <v>0.65333333333333332</v>
      </c>
      <c r="AJ377">
        <v>0</v>
      </c>
      <c r="AK377" s="31">
        <f t="shared" si="51"/>
        <v>9.8333333333333321</v>
      </c>
      <c r="AL377" s="31">
        <f t="shared" si="52"/>
        <v>12.583333333333334</v>
      </c>
      <c r="AM377" s="31">
        <f>Table3[[#This Row],[end_time_num]]-Table3[[#This Row],[start_time_num]]</f>
        <v>2.7500000000000018</v>
      </c>
      <c r="AN377" t="s">
        <v>148</v>
      </c>
    </row>
    <row r="378" spans="1:40" x14ac:dyDescent="0.35">
      <c r="A378">
        <v>21</v>
      </c>
      <c r="B378">
        <v>1</v>
      </c>
      <c r="D378" t="s">
        <v>177</v>
      </c>
      <c r="E378" s="2">
        <v>0.40972222222222221</v>
      </c>
      <c r="F378" s="2">
        <v>0.53125</v>
      </c>
      <c r="G378" s="13">
        <v>0.12152777777777779</v>
      </c>
      <c r="H378" s="2" t="s">
        <v>136</v>
      </c>
      <c r="I378" t="s">
        <v>6</v>
      </c>
      <c r="J378">
        <v>1</v>
      </c>
      <c r="K378" t="s">
        <v>4</v>
      </c>
      <c r="L378" s="14" t="s">
        <v>0</v>
      </c>
      <c r="M378">
        <v>4</v>
      </c>
      <c r="N378">
        <v>9</v>
      </c>
      <c r="O378">
        <v>8</v>
      </c>
      <c r="P378">
        <v>6</v>
      </c>
      <c r="Q378">
        <v>8</v>
      </c>
      <c r="R378">
        <v>2</v>
      </c>
      <c r="S378">
        <v>8</v>
      </c>
      <c r="T378">
        <v>24</v>
      </c>
      <c r="U378">
        <v>8</v>
      </c>
      <c r="V378">
        <v>7</v>
      </c>
      <c r="W378">
        <v>7</v>
      </c>
      <c r="X378">
        <v>2</v>
      </c>
      <c r="Y378">
        <v>3</v>
      </c>
      <c r="Z378">
        <v>0</v>
      </c>
      <c r="AA378">
        <v>0</v>
      </c>
      <c r="AB378">
        <v>1</v>
      </c>
      <c r="AC378" s="18">
        <f>SUMPRODUCT(OG_Data!D$1:S$1, M378:AB378) /SUM(M378:AB378)</f>
        <v>6.8865979381443303</v>
      </c>
      <c r="AD378">
        <f t="shared" si="50"/>
        <v>97</v>
      </c>
      <c r="AE378">
        <v>0</v>
      </c>
      <c r="AF378">
        <v>6</v>
      </c>
      <c r="AG378">
        <v>25</v>
      </c>
      <c r="AH378">
        <f>Table3[[#This Row],[Flies_per_Vial]]*Table3[[#This Row],[Vials_Total_UsedInMaze]]</f>
        <v>150</v>
      </c>
      <c r="AI378">
        <f>Table3[[#This Row],[total_Flies]]/Table3[[#This Row],[flies_in]]</f>
        <v>0.64666666666666661</v>
      </c>
      <c r="AJ378">
        <v>0</v>
      </c>
      <c r="AK378" s="31">
        <f t="shared" si="51"/>
        <v>9.8333333333333321</v>
      </c>
      <c r="AL378" s="31">
        <f t="shared" si="52"/>
        <v>12.75</v>
      </c>
      <c r="AM378" s="31">
        <f>Table3[[#This Row],[end_time_num]]-Table3[[#This Row],[start_time_num]]</f>
        <v>2.9166666666666679</v>
      </c>
      <c r="AN378" t="s">
        <v>148</v>
      </c>
    </row>
    <row r="379" spans="1:40" x14ac:dyDescent="0.35">
      <c r="A379">
        <v>21</v>
      </c>
      <c r="B379">
        <v>1</v>
      </c>
      <c r="D379" t="s">
        <v>177</v>
      </c>
      <c r="E379" s="2">
        <v>0.40972222222222221</v>
      </c>
      <c r="F379" s="2">
        <v>0.53611111111111109</v>
      </c>
      <c r="G379" s="13">
        <v>0.12638888888888888</v>
      </c>
      <c r="H379" s="2" t="s">
        <v>136</v>
      </c>
      <c r="I379" t="s">
        <v>6</v>
      </c>
      <c r="J379">
        <v>1</v>
      </c>
      <c r="K379" t="s">
        <v>2</v>
      </c>
      <c r="L379" s="14" t="s">
        <v>0</v>
      </c>
      <c r="M379">
        <v>9</v>
      </c>
      <c r="N379">
        <v>12</v>
      </c>
      <c r="O379">
        <v>10</v>
      </c>
      <c r="P379">
        <v>1</v>
      </c>
      <c r="Q379">
        <v>0</v>
      </c>
      <c r="R379">
        <v>5</v>
      </c>
      <c r="S379">
        <v>8</v>
      </c>
      <c r="T379">
        <v>11</v>
      </c>
      <c r="U379">
        <v>14</v>
      </c>
      <c r="V379">
        <v>5</v>
      </c>
      <c r="W379">
        <v>2</v>
      </c>
      <c r="X379">
        <v>0</v>
      </c>
      <c r="Y379">
        <v>2</v>
      </c>
      <c r="Z379">
        <v>0</v>
      </c>
      <c r="AA379">
        <v>0</v>
      </c>
      <c r="AB379">
        <v>0</v>
      </c>
      <c r="AC379" s="18">
        <f>SUMPRODUCT(OG_Data!D$1:S$1, M379:AB379) /SUM(M379:AB379)</f>
        <v>5.8860759493670889</v>
      </c>
      <c r="AD379">
        <f t="shared" si="50"/>
        <v>79</v>
      </c>
      <c r="AE379">
        <v>0</v>
      </c>
      <c r="AF379">
        <v>5</v>
      </c>
      <c r="AG379">
        <v>25</v>
      </c>
      <c r="AH379">
        <f>Table3[[#This Row],[Flies_per_Vial]]*Table3[[#This Row],[Vials_Total_UsedInMaze]]</f>
        <v>125</v>
      </c>
      <c r="AI379">
        <f>Table3[[#This Row],[total_Flies]]/Table3[[#This Row],[flies_in]]</f>
        <v>0.63200000000000001</v>
      </c>
      <c r="AJ379">
        <v>0</v>
      </c>
      <c r="AK379" s="31">
        <f t="shared" si="51"/>
        <v>9.8333333333333321</v>
      </c>
      <c r="AL379" s="31">
        <f t="shared" si="52"/>
        <v>12.866666666666667</v>
      </c>
      <c r="AM379" s="31">
        <f>Table3[[#This Row],[end_time_num]]-Table3[[#This Row],[start_time_num]]</f>
        <v>3.033333333333335</v>
      </c>
      <c r="AN379" t="s">
        <v>148</v>
      </c>
    </row>
    <row r="380" spans="1:40" x14ac:dyDescent="0.35">
      <c r="A380">
        <v>21</v>
      </c>
      <c r="B380">
        <v>1</v>
      </c>
      <c r="D380" t="s">
        <v>177</v>
      </c>
      <c r="E380" s="2">
        <v>0.40972222222222221</v>
      </c>
      <c r="F380" s="2">
        <v>0.54166666666666663</v>
      </c>
      <c r="G380" s="13">
        <v>0.13194444444444442</v>
      </c>
      <c r="H380" s="2" t="s">
        <v>136</v>
      </c>
      <c r="I380" t="s">
        <v>6</v>
      </c>
      <c r="J380">
        <v>1</v>
      </c>
      <c r="K380" t="s">
        <v>1</v>
      </c>
      <c r="L380" s="14" t="s">
        <v>3</v>
      </c>
      <c r="M380">
        <v>12</v>
      </c>
      <c r="N380">
        <v>11</v>
      </c>
      <c r="O380">
        <v>4</v>
      </c>
      <c r="P380">
        <v>6</v>
      </c>
      <c r="Q380">
        <v>7</v>
      </c>
      <c r="R380">
        <v>6</v>
      </c>
      <c r="S380">
        <v>3</v>
      </c>
      <c r="T380">
        <v>7</v>
      </c>
      <c r="U380">
        <v>5</v>
      </c>
      <c r="V380">
        <v>0</v>
      </c>
      <c r="W380">
        <v>5</v>
      </c>
      <c r="X380">
        <v>2</v>
      </c>
      <c r="Y380">
        <v>2</v>
      </c>
      <c r="Z380">
        <v>0</v>
      </c>
      <c r="AA380">
        <v>0</v>
      </c>
      <c r="AB380">
        <v>0</v>
      </c>
      <c r="AC380" s="18">
        <f>SUMPRODUCT(OG_Data!D$1:S$1, M380:AB380) /SUM(M380:AB380)</f>
        <v>5.2571428571428571</v>
      </c>
      <c r="AD380">
        <f t="shared" si="50"/>
        <v>70</v>
      </c>
      <c r="AE380">
        <v>0</v>
      </c>
      <c r="AF380">
        <v>6</v>
      </c>
      <c r="AG380">
        <v>25</v>
      </c>
      <c r="AH380">
        <f>Table3[[#This Row],[Flies_per_Vial]]*Table3[[#This Row],[Vials_Total_UsedInMaze]]</f>
        <v>150</v>
      </c>
      <c r="AI380">
        <f>Table3[[#This Row],[total_Flies]]/Table3[[#This Row],[flies_in]]</f>
        <v>0.46666666666666667</v>
      </c>
      <c r="AJ380">
        <v>0</v>
      </c>
      <c r="AK380" s="31">
        <f t="shared" si="51"/>
        <v>9.8333333333333321</v>
      </c>
      <c r="AL380" s="31">
        <f t="shared" si="52"/>
        <v>13</v>
      </c>
      <c r="AM380" s="31">
        <f>Table3[[#This Row],[end_time_num]]-Table3[[#This Row],[start_time_num]]</f>
        <v>3.1666666666666679</v>
      </c>
      <c r="AN380" t="s">
        <v>148</v>
      </c>
    </row>
    <row r="381" spans="1:40" x14ac:dyDescent="0.35">
      <c r="A381">
        <v>21</v>
      </c>
      <c r="B381">
        <v>1</v>
      </c>
      <c r="D381" t="s">
        <v>177</v>
      </c>
      <c r="E381" s="2">
        <v>0.5625</v>
      </c>
      <c r="F381" s="2">
        <v>0.6875</v>
      </c>
      <c r="G381" s="13">
        <v>0.125</v>
      </c>
      <c r="H381" s="2" t="s">
        <v>142</v>
      </c>
      <c r="I381" t="s">
        <v>6</v>
      </c>
      <c r="J381">
        <v>2</v>
      </c>
      <c r="K381" t="s">
        <v>5</v>
      </c>
      <c r="L381" s="14" t="s">
        <v>3</v>
      </c>
      <c r="M381">
        <v>8</v>
      </c>
      <c r="N381">
        <v>9</v>
      </c>
      <c r="O381">
        <v>7</v>
      </c>
      <c r="P381">
        <v>4</v>
      </c>
      <c r="Q381">
        <v>22</v>
      </c>
      <c r="R381">
        <v>3</v>
      </c>
      <c r="S381">
        <v>4</v>
      </c>
      <c r="T381">
        <v>1</v>
      </c>
      <c r="U381">
        <v>4</v>
      </c>
      <c r="V381">
        <v>2</v>
      </c>
      <c r="W381">
        <v>8</v>
      </c>
      <c r="X381">
        <v>0</v>
      </c>
      <c r="Y381">
        <v>9</v>
      </c>
      <c r="Z381">
        <v>0</v>
      </c>
      <c r="AA381">
        <v>11</v>
      </c>
      <c r="AB381">
        <v>2</v>
      </c>
      <c r="AC381" s="18">
        <f>SUMPRODUCT(OG_Data!D$1:S$1, M381:AB381) /SUM(M381:AB381)</f>
        <v>7.2872340425531918</v>
      </c>
      <c r="AD381">
        <f t="shared" si="50"/>
        <v>94</v>
      </c>
      <c r="AE381">
        <v>0</v>
      </c>
      <c r="AF381">
        <v>6</v>
      </c>
      <c r="AG381">
        <v>25</v>
      </c>
      <c r="AH381">
        <f>Table3[[#This Row],[Flies_per_Vial]]*Table3[[#This Row],[Vials_Total_UsedInMaze]]</f>
        <v>150</v>
      </c>
      <c r="AI381">
        <f>Table3[[#This Row],[total_Flies]]/Table3[[#This Row],[flies_in]]</f>
        <v>0.62666666666666671</v>
      </c>
      <c r="AJ381">
        <v>0</v>
      </c>
      <c r="AK381" s="31">
        <f t="shared" si="51"/>
        <v>13.5</v>
      </c>
      <c r="AL381" s="31">
        <f t="shared" si="52"/>
        <v>16.5</v>
      </c>
      <c r="AM381" s="31">
        <f>Table3[[#This Row],[end_time_num]]-Table3[[#This Row],[start_time_num]]</f>
        <v>3</v>
      </c>
      <c r="AN381" t="s">
        <v>147</v>
      </c>
    </row>
    <row r="382" spans="1:40" x14ac:dyDescent="0.35">
      <c r="A382">
        <v>21</v>
      </c>
      <c r="B382">
        <v>1</v>
      </c>
      <c r="D382" t="s">
        <v>177</v>
      </c>
      <c r="E382" s="2">
        <v>0.5625</v>
      </c>
      <c r="F382" s="2">
        <v>0.69027777777777777</v>
      </c>
      <c r="G382" s="13">
        <v>0.12777777777777777</v>
      </c>
      <c r="H382" s="2" t="s">
        <v>142</v>
      </c>
      <c r="I382" t="s">
        <v>6</v>
      </c>
      <c r="J382">
        <v>2</v>
      </c>
      <c r="K382" t="s">
        <v>4</v>
      </c>
      <c r="L382" s="14" t="s">
        <v>0</v>
      </c>
      <c r="M382">
        <v>41</v>
      </c>
      <c r="N382">
        <v>14</v>
      </c>
      <c r="O382">
        <v>16</v>
      </c>
      <c r="P382">
        <v>9</v>
      </c>
      <c r="Q382">
        <v>19</v>
      </c>
      <c r="R382">
        <v>23</v>
      </c>
      <c r="S382">
        <v>20</v>
      </c>
      <c r="T382">
        <v>16</v>
      </c>
      <c r="U382">
        <v>6</v>
      </c>
      <c r="V382">
        <v>0</v>
      </c>
      <c r="W382">
        <v>3</v>
      </c>
      <c r="X382">
        <v>1</v>
      </c>
      <c r="Y382">
        <v>0</v>
      </c>
      <c r="Z382">
        <v>0</v>
      </c>
      <c r="AA382">
        <v>0</v>
      </c>
      <c r="AB382">
        <v>1</v>
      </c>
      <c r="AC382" s="18">
        <f>SUMPRODUCT(OG_Data!D$1:S$1, M382:AB382) /SUM(M382:AB382)</f>
        <v>4.550295857988166</v>
      </c>
      <c r="AD382">
        <f t="shared" si="50"/>
        <v>169</v>
      </c>
      <c r="AE382">
        <v>0</v>
      </c>
      <c r="AF382">
        <v>7</v>
      </c>
      <c r="AG382">
        <v>25</v>
      </c>
      <c r="AH382">
        <f>Table3[[#This Row],[Flies_per_Vial]]*Table3[[#This Row],[Vials_Total_UsedInMaze]]</f>
        <v>175</v>
      </c>
      <c r="AI382">
        <f>Table3[[#This Row],[total_Flies]]/Table3[[#This Row],[flies_in]]</f>
        <v>0.96571428571428575</v>
      </c>
      <c r="AJ382">
        <v>0</v>
      </c>
      <c r="AK382" s="31">
        <f t="shared" si="51"/>
        <v>13.5</v>
      </c>
      <c r="AL382" s="31">
        <f t="shared" si="52"/>
        <v>16.566666666666666</v>
      </c>
      <c r="AM382" s="31">
        <f>Table3[[#This Row],[end_time_num]]-Table3[[#This Row],[start_time_num]]</f>
        <v>3.0666666666666664</v>
      </c>
      <c r="AN382" t="s">
        <v>147</v>
      </c>
    </row>
    <row r="383" spans="1:40" x14ac:dyDescent="0.35">
      <c r="A383">
        <v>21</v>
      </c>
      <c r="B383">
        <v>1</v>
      </c>
      <c r="D383" t="s">
        <v>177</v>
      </c>
      <c r="E383" s="2">
        <v>0.5625</v>
      </c>
      <c r="F383" s="2">
        <v>0.69444444444444442</v>
      </c>
      <c r="G383" s="13">
        <v>0.13194444444444442</v>
      </c>
      <c r="H383" s="2" t="s">
        <v>142</v>
      </c>
      <c r="I383" t="s">
        <v>6</v>
      </c>
      <c r="J383">
        <v>2</v>
      </c>
      <c r="K383" t="s">
        <v>2</v>
      </c>
      <c r="L383" s="14" t="s">
        <v>0</v>
      </c>
      <c r="M383">
        <v>42</v>
      </c>
      <c r="N383">
        <v>30</v>
      </c>
      <c r="O383">
        <v>24</v>
      </c>
      <c r="P383">
        <v>3</v>
      </c>
      <c r="Q383">
        <v>7</v>
      </c>
      <c r="R383">
        <v>15</v>
      </c>
      <c r="S383">
        <v>3</v>
      </c>
      <c r="T383">
        <v>5</v>
      </c>
      <c r="U383">
        <v>3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 s="18">
        <f>SUMPRODUCT(OG_Data!D$1:S$1, M383:AB383) /SUM(M383:AB383)</f>
        <v>3.0827067669172932</v>
      </c>
      <c r="AD383">
        <f t="shared" si="50"/>
        <v>133</v>
      </c>
      <c r="AE383">
        <v>0</v>
      </c>
      <c r="AF383">
        <v>6</v>
      </c>
      <c r="AG383">
        <v>25</v>
      </c>
      <c r="AH383">
        <f>Table3[[#This Row],[Flies_per_Vial]]*Table3[[#This Row],[Vials_Total_UsedInMaze]]</f>
        <v>150</v>
      </c>
      <c r="AI383">
        <f>Table3[[#This Row],[total_Flies]]/Table3[[#This Row],[flies_in]]</f>
        <v>0.88666666666666671</v>
      </c>
      <c r="AJ383">
        <v>0</v>
      </c>
      <c r="AK383" s="31">
        <f t="shared" si="51"/>
        <v>13.5</v>
      </c>
      <c r="AL383" s="31">
        <f t="shared" si="52"/>
        <v>16.666666666666664</v>
      </c>
      <c r="AM383" s="31">
        <f>Table3[[#This Row],[end_time_num]]-Table3[[#This Row],[start_time_num]]</f>
        <v>3.1666666666666643</v>
      </c>
      <c r="AN383" t="s">
        <v>147</v>
      </c>
    </row>
    <row r="384" spans="1:40" x14ac:dyDescent="0.35">
      <c r="A384">
        <v>21</v>
      </c>
      <c r="B384">
        <v>1</v>
      </c>
      <c r="D384" t="s">
        <v>177</v>
      </c>
      <c r="E384" s="2">
        <v>0.5625</v>
      </c>
      <c r="F384" s="2">
        <v>0.69791666666666663</v>
      </c>
      <c r="G384" s="13">
        <v>0.13541666666666663</v>
      </c>
      <c r="H384" s="2" t="s">
        <v>142</v>
      </c>
      <c r="I384" t="s">
        <v>6</v>
      </c>
      <c r="J384">
        <v>2</v>
      </c>
      <c r="K384" t="s">
        <v>1</v>
      </c>
      <c r="L384" s="14" t="s">
        <v>3</v>
      </c>
      <c r="M384">
        <v>20</v>
      </c>
      <c r="N384">
        <v>25</v>
      </c>
      <c r="O384">
        <v>23</v>
      </c>
      <c r="P384">
        <v>14</v>
      </c>
      <c r="Q384">
        <v>18</v>
      </c>
      <c r="R384">
        <v>13</v>
      </c>
      <c r="S384">
        <v>3</v>
      </c>
      <c r="T384">
        <v>3</v>
      </c>
      <c r="U384">
        <v>0</v>
      </c>
      <c r="V384">
        <v>1</v>
      </c>
      <c r="W384">
        <v>2</v>
      </c>
      <c r="X384">
        <v>1</v>
      </c>
      <c r="Y384">
        <v>0</v>
      </c>
      <c r="Z384">
        <v>0</v>
      </c>
      <c r="AA384">
        <v>0</v>
      </c>
      <c r="AB384">
        <v>0</v>
      </c>
      <c r="AC384" s="18">
        <f>SUMPRODUCT(OG_Data!D$1:S$1, M384:AB384) /SUM(M384:AB384)</f>
        <v>3.6747967479674797</v>
      </c>
      <c r="AD384">
        <f t="shared" si="50"/>
        <v>123</v>
      </c>
      <c r="AE384">
        <v>0</v>
      </c>
      <c r="AF384">
        <v>6</v>
      </c>
      <c r="AG384">
        <v>25</v>
      </c>
      <c r="AH384">
        <f>Table3[[#This Row],[Flies_per_Vial]]*Table3[[#This Row],[Vials_Total_UsedInMaze]]</f>
        <v>150</v>
      </c>
      <c r="AI384">
        <f>Table3[[#This Row],[total_Flies]]/Table3[[#This Row],[flies_in]]</f>
        <v>0.82</v>
      </c>
      <c r="AJ384">
        <v>0</v>
      </c>
      <c r="AK384" s="31">
        <f t="shared" si="51"/>
        <v>13.5</v>
      </c>
      <c r="AL384" s="31">
        <f t="shared" si="52"/>
        <v>16.75</v>
      </c>
      <c r="AM384" s="31">
        <f>Table3[[#This Row],[end_time_num]]-Table3[[#This Row],[start_time_num]]</f>
        <v>3.25</v>
      </c>
      <c r="AN384" t="s">
        <v>147</v>
      </c>
    </row>
    <row r="385" spans="1:40" x14ac:dyDescent="0.35">
      <c r="A385">
        <v>21</v>
      </c>
      <c r="B385">
        <v>2</v>
      </c>
      <c r="D385" t="s">
        <v>178</v>
      </c>
      <c r="E385" s="2">
        <v>0.38194444444444442</v>
      </c>
      <c r="F385" s="2">
        <v>0.52083333333333337</v>
      </c>
      <c r="G385" s="13">
        <v>0.13888888888888895</v>
      </c>
      <c r="H385" s="2" t="s">
        <v>136</v>
      </c>
      <c r="I385" t="s">
        <v>6</v>
      </c>
      <c r="J385">
        <v>3</v>
      </c>
      <c r="K385" t="s">
        <v>5</v>
      </c>
      <c r="L385" s="14" t="s">
        <v>3</v>
      </c>
      <c r="M385">
        <v>4</v>
      </c>
      <c r="N385">
        <v>5</v>
      </c>
      <c r="O385">
        <v>2</v>
      </c>
      <c r="P385">
        <v>5</v>
      </c>
      <c r="Q385">
        <v>8</v>
      </c>
      <c r="R385">
        <v>3</v>
      </c>
      <c r="S385">
        <v>1</v>
      </c>
      <c r="T385">
        <v>3</v>
      </c>
      <c r="U385">
        <v>6</v>
      </c>
      <c r="V385">
        <v>4</v>
      </c>
      <c r="W385">
        <v>4</v>
      </c>
      <c r="X385">
        <v>5</v>
      </c>
      <c r="Y385">
        <v>0</v>
      </c>
      <c r="Z385">
        <v>4</v>
      </c>
      <c r="AA385">
        <v>13</v>
      </c>
      <c r="AB385">
        <v>6</v>
      </c>
      <c r="AC385" s="18">
        <f>SUMPRODUCT(OG_Data!D$1:S$1, M385:AB385) /SUM(M385:AB385)</f>
        <v>9.2328767123287676</v>
      </c>
      <c r="AD385">
        <f t="shared" si="50"/>
        <v>73</v>
      </c>
      <c r="AE385">
        <v>0</v>
      </c>
      <c r="AF385">
        <v>6</v>
      </c>
      <c r="AG385">
        <v>25</v>
      </c>
      <c r="AH385">
        <f>Table3[[#This Row],[Flies_per_Vial]]*Table3[[#This Row],[Vials_Total_UsedInMaze]]</f>
        <v>150</v>
      </c>
      <c r="AI385">
        <f>Table3[[#This Row],[total_Flies]]/Table3[[#This Row],[flies_in]]</f>
        <v>0.48666666666666669</v>
      </c>
      <c r="AJ385">
        <v>0</v>
      </c>
      <c r="AK385" s="31">
        <f t="shared" si="51"/>
        <v>9.1666666666666661</v>
      </c>
      <c r="AL385" s="31">
        <f t="shared" si="52"/>
        <v>12.5</v>
      </c>
      <c r="AM385" s="31">
        <f>Table3[[#This Row],[end_time_num]]-Table3[[#This Row],[start_time_num]]</f>
        <v>3.3333333333333339</v>
      </c>
      <c r="AN385" t="s">
        <v>147</v>
      </c>
    </row>
    <row r="386" spans="1:40" x14ac:dyDescent="0.35">
      <c r="A386">
        <v>21</v>
      </c>
      <c r="B386">
        <v>2</v>
      </c>
      <c r="D386" t="s">
        <v>178</v>
      </c>
      <c r="E386" s="2">
        <v>0.38194444444444442</v>
      </c>
      <c r="F386" s="2">
        <v>0.52430555555555558</v>
      </c>
      <c r="G386" s="13">
        <v>0.14236111111111116</v>
      </c>
      <c r="H386" s="2" t="s">
        <v>136</v>
      </c>
      <c r="I386" t="s">
        <v>6</v>
      </c>
      <c r="J386">
        <v>3</v>
      </c>
      <c r="K386" t="s">
        <v>4</v>
      </c>
      <c r="L386" s="14" t="s">
        <v>0</v>
      </c>
      <c r="M386">
        <v>7</v>
      </c>
      <c r="N386">
        <v>8</v>
      </c>
      <c r="O386">
        <v>10</v>
      </c>
      <c r="P386">
        <v>2</v>
      </c>
      <c r="Q386">
        <v>4</v>
      </c>
      <c r="R386">
        <v>3</v>
      </c>
      <c r="S386">
        <v>23</v>
      </c>
      <c r="T386">
        <v>21</v>
      </c>
      <c r="U386">
        <v>9</v>
      </c>
      <c r="V386">
        <v>5</v>
      </c>
      <c r="W386">
        <v>2</v>
      </c>
      <c r="X386">
        <v>5</v>
      </c>
      <c r="Y386">
        <v>4</v>
      </c>
      <c r="Z386">
        <v>1</v>
      </c>
      <c r="AA386">
        <v>2</v>
      </c>
      <c r="AB386">
        <v>0</v>
      </c>
      <c r="AC386" s="18">
        <f>SUMPRODUCT(OG_Data!D$1:S$1, M386:AB386) /SUM(M386:AB386)</f>
        <v>6.9528301886792452</v>
      </c>
      <c r="AD386">
        <f t="shared" si="50"/>
        <v>106</v>
      </c>
      <c r="AE386">
        <v>0</v>
      </c>
      <c r="AF386">
        <v>6</v>
      </c>
      <c r="AG386">
        <v>25</v>
      </c>
      <c r="AH386">
        <f>Table3[[#This Row],[Flies_per_Vial]]*Table3[[#This Row],[Vials_Total_UsedInMaze]]</f>
        <v>150</v>
      </c>
      <c r="AI386">
        <f>Table3[[#This Row],[total_Flies]]/Table3[[#This Row],[flies_in]]</f>
        <v>0.70666666666666667</v>
      </c>
      <c r="AJ386">
        <v>0</v>
      </c>
      <c r="AK386" s="31">
        <f t="shared" si="51"/>
        <v>9.1666666666666661</v>
      </c>
      <c r="AL386" s="31">
        <f t="shared" si="52"/>
        <v>12.583333333333334</v>
      </c>
      <c r="AM386" s="31">
        <f>Table3[[#This Row],[end_time_num]]-Table3[[#This Row],[start_time_num]]</f>
        <v>3.4166666666666679</v>
      </c>
      <c r="AN386" t="s">
        <v>147</v>
      </c>
    </row>
    <row r="387" spans="1:40" x14ac:dyDescent="0.35">
      <c r="A387">
        <v>21</v>
      </c>
      <c r="B387">
        <v>2</v>
      </c>
      <c r="D387" t="s">
        <v>178</v>
      </c>
      <c r="E387" s="2">
        <v>0.38194444444444398</v>
      </c>
      <c r="F387" s="2">
        <v>0.52777777777777779</v>
      </c>
      <c r="G387" s="13">
        <v>0.14583333333333381</v>
      </c>
      <c r="H387" s="2" t="s">
        <v>136</v>
      </c>
      <c r="I387" t="s">
        <v>6</v>
      </c>
      <c r="J387">
        <v>3</v>
      </c>
      <c r="K387" t="s">
        <v>2</v>
      </c>
      <c r="L387" s="14" t="s">
        <v>0</v>
      </c>
      <c r="M387">
        <v>19</v>
      </c>
      <c r="N387">
        <v>16</v>
      </c>
      <c r="O387">
        <v>24</v>
      </c>
      <c r="P387">
        <v>2</v>
      </c>
      <c r="Q387">
        <v>2</v>
      </c>
      <c r="R387">
        <v>13</v>
      </c>
      <c r="S387">
        <v>6</v>
      </c>
      <c r="T387">
        <v>6</v>
      </c>
      <c r="U387">
        <v>13</v>
      </c>
      <c r="V387">
        <v>3</v>
      </c>
      <c r="W387">
        <v>7</v>
      </c>
      <c r="X387">
        <v>1</v>
      </c>
      <c r="Y387">
        <v>0</v>
      </c>
      <c r="Z387">
        <v>0</v>
      </c>
      <c r="AA387">
        <v>0</v>
      </c>
      <c r="AB387">
        <v>0</v>
      </c>
      <c r="AC387" s="18">
        <f>SUMPRODUCT(OG_Data!D$1:S$1, M387:AB387) /SUM(M387:AB387)</f>
        <v>4.8660714285714288</v>
      </c>
      <c r="AD387">
        <f t="shared" si="50"/>
        <v>112</v>
      </c>
      <c r="AE387">
        <v>0</v>
      </c>
      <c r="AF387">
        <v>6</v>
      </c>
      <c r="AG387">
        <v>25</v>
      </c>
      <c r="AH387">
        <f>Table3[[#This Row],[Flies_per_Vial]]*Table3[[#This Row],[Vials_Total_UsedInMaze]]</f>
        <v>150</v>
      </c>
      <c r="AI387">
        <f>Table3[[#This Row],[total_Flies]]/Table3[[#This Row],[flies_in]]</f>
        <v>0.7466666666666667</v>
      </c>
      <c r="AJ387">
        <v>0</v>
      </c>
      <c r="AK387" s="31">
        <f t="shared" si="51"/>
        <v>9.1666666666666554</v>
      </c>
      <c r="AL387" s="31">
        <f t="shared" si="52"/>
        <v>12.666666666666668</v>
      </c>
      <c r="AM387" s="31">
        <f>Table3[[#This Row],[end_time_num]]-Table3[[#This Row],[start_time_num]]</f>
        <v>3.5000000000000124</v>
      </c>
      <c r="AN387" t="s">
        <v>147</v>
      </c>
    </row>
    <row r="388" spans="1:40" x14ac:dyDescent="0.35">
      <c r="A388">
        <v>21</v>
      </c>
      <c r="B388">
        <v>2</v>
      </c>
      <c r="D388" t="s">
        <v>178</v>
      </c>
      <c r="E388" s="2">
        <v>0.38194444444444398</v>
      </c>
      <c r="F388" s="2">
        <v>0.53055555555555556</v>
      </c>
      <c r="G388" s="13">
        <v>0.14861111111111158</v>
      </c>
      <c r="H388" s="2" t="s">
        <v>136</v>
      </c>
      <c r="I388" t="s">
        <v>6</v>
      </c>
      <c r="J388">
        <v>3</v>
      </c>
      <c r="K388" t="s">
        <v>1</v>
      </c>
      <c r="L388" s="14" t="s">
        <v>3</v>
      </c>
      <c r="M388">
        <v>15</v>
      </c>
      <c r="N388">
        <v>14</v>
      </c>
      <c r="O388">
        <v>15</v>
      </c>
      <c r="P388">
        <v>10</v>
      </c>
      <c r="Q388">
        <v>9</v>
      </c>
      <c r="R388">
        <v>10</v>
      </c>
      <c r="S388">
        <v>2</v>
      </c>
      <c r="T388">
        <v>4</v>
      </c>
      <c r="U388">
        <v>5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1</v>
      </c>
      <c r="AB388">
        <v>0</v>
      </c>
      <c r="AC388" s="18">
        <f>SUMPRODUCT(OG_Data!D$1:S$1, M388:AB388) /SUM(M388:AB388)</f>
        <v>4.195402298850575</v>
      </c>
      <c r="AD388">
        <f t="shared" si="50"/>
        <v>87</v>
      </c>
      <c r="AE388">
        <v>0</v>
      </c>
      <c r="AF388">
        <v>6</v>
      </c>
      <c r="AG388">
        <v>25</v>
      </c>
      <c r="AH388">
        <f>Table3[[#This Row],[Flies_per_Vial]]*Table3[[#This Row],[Vials_Total_UsedInMaze]]</f>
        <v>150</v>
      </c>
      <c r="AI388">
        <f>Table3[[#This Row],[total_Flies]]/Table3[[#This Row],[flies_in]]</f>
        <v>0.57999999999999996</v>
      </c>
      <c r="AJ388">
        <v>0</v>
      </c>
      <c r="AK388" s="31">
        <f t="shared" si="51"/>
        <v>9.1666666666666554</v>
      </c>
      <c r="AL388" s="31">
        <f t="shared" si="52"/>
        <v>12.733333333333334</v>
      </c>
      <c r="AM388" s="31">
        <f>Table3[[#This Row],[end_time_num]]-Table3[[#This Row],[start_time_num]]</f>
        <v>3.5666666666666789</v>
      </c>
      <c r="AN388" t="s">
        <v>147</v>
      </c>
    </row>
    <row r="389" spans="1:40" x14ac:dyDescent="0.35">
      <c r="A389">
        <v>21</v>
      </c>
      <c r="B389">
        <v>2</v>
      </c>
      <c r="D389" t="s">
        <v>178</v>
      </c>
      <c r="E389" s="2">
        <v>0.55555555555555558</v>
      </c>
      <c r="F389" s="2">
        <v>0.6875</v>
      </c>
      <c r="G389" s="13">
        <v>0.13194444444444442</v>
      </c>
      <c r="H389" s="2" t="s">
        <v>142</v>
      </c>
      <c r="I389" t="s">
        <v>6</v>
      </c>
      <c r="J389">
        <v>4</v>
      </c>
      <c r="K389" t="s">
        <v>5</v>
      </c>
      <c r="L389" s="14" t="s">
        <v>3</v>
      </c>
      <c r="M389">
        <v>9</v>
      </c>
      <c r="N389">
        <v>12</v>
      </c>
      <c r="O389">
        <v>3</v>
      </c>
      <c r="P389">
        <v>8</v>
      </c>
      <c r="Q389">
        <v>11</v>
      </c>
      <c r="R389">
        <v>7</v>
      </c>
      <c r="S389">
        <v>3</v>
      </c>
      <c r="T389">
        <v>3</v>
      </c>
      <c r="U389">
        <v>8</v>
      </c>
      <c r="V389">
        <v>3</v>
      </c>
      <c r="W389">
        <v>5</v>
      </c>
      <c r="X389">
        <v>3</v>
      </c>
      <c r="Y389">
        <v>4</v>
      </c>
      <c r="Z389">
        <v>0</v>
      </c>
      <c r="AA389">
        <v>11</v>
      </c>
      <c r="AB389">
        <v>1</v>
      </c>
      <c r="AC389" s="18">
        <f>SUMPRODUCT(OG_Data!D$1:S$1, M389:AB389) /SUM(M389:AB389)</f>
        <v>7.0549450549450547</v>
      </c>
      <c r="AD389">
        <f t="shared" si="50"/>
        <v>91</v>
      </c>
      <c r="AE389">
        <v>0</v>
      </c>
      <c r="AF389">
        <v>6</v>
      </c>
      <c r="AG389">
        <v>25</v>
      </c>
      <c r="AH389">
        <f>Table3[[#This Row],[Flies_per_Vial]]*Table3[[#This Row],[Vials_Total_UsedInMaze]]</f>
        <v>150</v>
      </c>
      <c r="AI389">
        <f>Table3[[#This Row],[total_Flies]]/Table3[[#This Row],[flies_in]]</f>
        <v>0.60666666666666669</v>
      </c>
      <c r="AJ389">
        <v>0</v>
      </c>
      <c r="AK389" s="31">
        <f t="shared" si="51"/>
        <v>13.333333333333334</v>
      </c>
      <c r="AL389" s="31">
        <f t="shared" si="52"/>
        <v>16.5</v>
      </c>
      <c r="AM389" s="31">
        <f>Table3[[#This Row],[end_time_num]]-Table3[[#This Row],[start_time_num]]</f>
        <v>3.1666666666666661</v>
      </c>
      <c r="AN389" t="s">
        <v>147</v>
      </c>
    </row>
    <row r="390" spans="1:40" x14ac:dyDescent="0.35">
      <c r="A390">
        <v>21</v>
      </c>
      <c r="B390">
        <v>2</v>
      </c>
      <c r="D390" t="s">
        <v>178</v>
      </c>
      <c r="E390" s="2">
        <v>0.55555555555555558</v>
      </c>
      <c r="F390" s="2">
        <v>0.69027777777777777</v>
      </c>
      <c r="G390" s="13">
        <v>0.13472222222222219</v>
      </c>
      <c r="H390" s="2" t="s">
        <v>142</v>
      </c>
      <c r="I390" t="s">
        <v>6</v>
      </c>
      <c r="J390">
        <v>4</v>
      </c>
      <c r="K390" t="s">
        <v>4</v>
      </c>
      <c r="L390" s="14" t="s">
        <v>0</v>
      </c>
      <c r="M390">
        <v>18</v>
      </c>
      <c r="N390">
        <v>11</v>
      </c>
      <c r="O390">
        <v>12</v>
      </c>
      <c r="P390">
        <v>10</v>
      </c>
      <c r="Q390">
        <v>11</v>
      </c>
      <c r="R390">
        <v>11</v>
      </c>
      <c r="S390">
        <v>24</v>
      </c>
      <c r="T390">
        <v>19</v>
      </c>
      <c r="U390">
        <v>6</v>
      </c>
      <c r="V390">
        <v>9</v>
      </c>
      <c r="W390">
        <v>1</v>
      </c>
      <c r="X390">
        <v>4</v>
      </c>
      <c r="Y390">
        <v>0</v>
      </c>
      <c r="Z390">
        <v>0</v>
      </c>
      <c r="AA390">
        <v>2</v>
      </c>
      <c r="AB390">
        <v>0</v>
      </c>
      <c r="AC390" s="18">
        <f>SUMPRODUCT(OG_Data!D$1:S$1, M390:AB390) /SUM(M390:AB390)</f>
        <v>5.72463768115942</v>
      </c>
      <c r="AD390">
        <f t="shared" si="50"/>
        <v>138</v>
      </c>
      <c r="AE390">
        <v>0</v>
      </c>
      <c r="AF390">
        <v>6</v>
      </c>
      <c r="AG390">
        <v>25</v>
      </c>
      <c r="AH390">
        <f>Table3[[#This Row],[Flies_per_Vial]]*Table3[[#This Row],[Vials_Total_UsedInMaze]]</f>
        <v>150</v>
      </c>
      <c r="AI390">
        <f>Table3[[#This Row],[total_Flies]]/Table3[[#This Row],[flies_in]]</f>
        <v>0.92</v>
      </c>
      <c r="AJ390">
        <v>0</v>
      </c>
      <c r="AK390" s="31">
        <f t="shared" si="51"/>
        <v>13.333333333333334</v>
      </c>
      <c r="AL390" s="31">
        <f t="shared" si="52"/>
        <v>16.566666666666666</v>
      </c>
      <c r="AM390" s="31">
        <f>Table3[[#This Row],[end_time_num]]-Table3[[#This Row],[start_time_num]]</f>
        <v>3.2333333333333325</v>
      </c>
      <c r="AN390" t="s">
        <v>147</v>
      </c>
    </row>
    <row r="391" spans="1:40" x14ac:dyDescent="0.35">
      <c r="A391">
        <v>21</v>
      </c>
      <c r="B391">
        <v>2</v>
      </c>
      <c r="D391" t="s">
        <v>178</v>
      </c>
      <c r="E391" s="2">
        <v>0.55555555555555558</v>
      </c>
      <c r="F391" s="2">
        <v>0.69166666666666665</v>
      </c>
      <c r="G391" s="13">
        <v>0.13611111111111107</v>
      </c>
      <c r="H391" s="2" t="s">
        <v>142</v>
      </c>
      <c r="I391" t="s">
        <v>6</v>
      </c>
      <c r="J391">
        <v>4</v>
      </c>
      <c r="K391" t="s">
        <v>2</v>
      </c>
      <c r="L391" s="14" t="s">
        <v>0</v>
      </c>
      <c r="M391">
        <v>59</v>
      </c>
      <c r="N391">
        <v>32</v>
      </c>
      <c r="O391">
        <v>22</v>
      </c>
      <c r="P391">
        <v>3</v>
      </c>
      <c r="Q391">
        <v>5</v>
      </c>
      <c r="R391">
        <v>9</v>
      </c>
      <c r="S391">
        <v>2</v>
      </c>
      <c r="T391">
        <v>8</v>
      </c>
      <c r="U391">
        <v>9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 s="18">
        <f>SUMPRODUCT(OG_Data!D$1:S$1, M391:AB391) /SUM(M391:AB391)</f>
        <v>3.0463576158940397</v>
      </c>
      <c r="AD391">
        <f t="shared" si="50"/>
        <v>151</v>
      </c>
      <c r="AE391">
        <v>0</v>
      </c>
      <c r="AF391">
        <v>6</v>
      </c>
      <c r="AG391">
        <v>25</v>
      </c>
      <c r="AH391">
        <f>Table3[[#This Row],[Flies_per_Vial]]*Table3[[#This Row],[Vials_Total_UsedInMaze]]</f>
        <v>150</v>
      </c>
      <c r="AI391">
        <f>Table3[[#This Row],[total_Flies]]/Table3[[#This Row],[flies_in]]</f>
        <v>1.0066666666666666</v>
      </c>
      <c r="AJ391">
        <v>0</v>
      </c>
      <c r="AK391" s="31">
        <f t="shared" si="51"/>
        <v>13.333333333333334</v>
      </c>
      <c r="AL391" s="31">
        <f t="shared" si="52"/>
        <v>16.600000000000001</v>
      </c>
      <c r="AM391" s="31">
        <f>Table3[[#This Row],[end_time_num]]-Table3[[#This Row],[start_time_num]]</f>
        <v>3.2666666666666675</v>
      </c>
      <c r="AN391" t="s">
        <v>147</v>
      </c>
    </row>
    <row r="392" spans="1:40" x14ac:dyDescent="0.35">
      <c r="A392">
        <v>21</v>
      </c>
      <c r="B392">
        <v>2</v>
      </c>
      <c r="D392" t="s">
        <v>178</v>
      </c>
      <c r="E392" s="2">
        <v>0.55555555555555558</v>
      </c>
      <c r="F392" s="2">
        <v>0.69513888888888886</v>
      </c>
      <c r="G392" s="13">
        <v>0.13958333333333328</v>
      </c>
      <c r="H392" s="2" t="s">
        <v>142</v>
      </c>
      <c r="I392" t="s">
        <v>6</v>
      </c>
      <c r="J392">
        <v>4</v>
      </c>
      <c r="K392" t="s">
        <v>1</v>
      </c>
      <c r="L392" s="14" t="s">
        <v>3</v>
      </c>
      <c r="M392">
        <v>45</v>
      </c>
      <c r="N392">
        <v>32</v>
      </c>
      <c r="O392">
        <v>21</v>
      </c>
      <c r="P392">
        <v>21</v>
      </c>
      <c r="Q392">
        <v>20</v>
      </c>
      <c r="R392">
        <v>10</v>
      </c>
      <c r="S392">
        <v>0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s="18">
        <f>SUMPRODUCT(OG_Data!D$1:S$1, M392:AB392) /SUM(M392:AB392)</f>
        <v>2.8947368421052633</v>
      </c>
      <c r="AD392">
        <f t="shared" si="50"/>
        <v>152</v>
      </c>
      <c r="AE392">
        <v>0</v>
      </c>
      <c r="AF392">
        <v>6</v>
      </c>
      <c r="AG392">
        <v>25</v>
      </c>
      <c r="AH392">
        <f>Table3[[#This Row],[Flies_per_Vial]]*Table3[[#This Row],[Vials_Total_UsedInMaze]]</f>
        <v>150</v>
      </c>
      <c r="AI392">
        <f>Table3[[#This Row],[total_Flies]]/Table3[[#This Row],[flies_in]]</f>
        <v>1.0133333333333334</v>
      </c>
      <c r="AJ392">
        <v>0</v>
      </c>
      <c r="AK392" s="31">
        <f t="shared" si="51"/>
        <v>13.333333333333334</v>
      </c>
      <c r="AL392" s="31">
        <f t="shared" si="52"/>
        <v>16.683333333333334</v>
      </c>
      <c r="AM392" s="31">
        <f>Table3[[#This Row],[end_time_num]]-Table3[[#This Row],[start_time_num]]</f>
        <v>3.3499999999999996</v>
      </c>
      <c r="AN392" t="s">
        <v>147</v>
      </c>
    </row>
    <row r="393" spans="1:40" x14ac:dyDescent="0.35">
      <c r="A393">
        <v>22</v>
      </c>
      <c r="B393">
        <v>1</v>
      </c>
      <c r="D393" t="s">
        <v>179</v>
      </c>
      <c r="E393" s="2">
        <v>0.38541666666666669</v>
      </c>
      <c r="F393" s="2">
        <v>0.52083333333333337</v>
      </c>
      <c r="G393" s="13">
        <v>0.13541666666666669</v>
      </c>
      <c r="H393" s="2" t="s">
        <v>136</v>
      </c>
      <c r="I393" t="s">
        <v>6</v>
      </c>
      <c r="J393">
        <v>2</v>
      </c>
      <c r="K393" t="s">
        <v>5</v>
      </c>
      <c r="L393" s="14" t="s">
        <v>3</v>
      </c>
      <c r="M393">
        <v>3</v>
      </c>
      <c r="N393">
        <v>1</v>
      </c>
      <c r="O393">
        <v>0</v>
      </c>
      <c r="P393">
        <v>0</v>
      </c>
      <c r="Q393">
        <v>3</v>
      </c>
      <c r="R393">
        <v>5</v>
      </c>
      <c r="S393">
        <v>2</v>
      </c>
      <c r="T393">
        <v>1</v>
      </c>
      <c r="U393">
        <v>1</v>
      </c>
      <c r="V393">
        <v>6</v>
      </c>
      <c r="W393">
        <v>6</v>
      </c>
      <c r="X393">
        <v>3</v>
      </c>
      <c r="Y393">
        <v>5</v>
      </c>
      <c r="Z393">
        <v>1</v>
      </c>
      <c r="AA393">
        <v>3</v>
      </c>
      <c r="AB393">
        <v>7</v>
      </c>
      <c r="AC393" s="18">
        <f>SUMPRODUCT(OG_Data!D$1:S$1, M393:AB393) /SUM(M393:AB393)</f>
        <v>10.191489361702128</v>
      </c>
      <c r="AD393">
        <f t="shared" ref="AD393:AD422" si="53">SUM(M393:AB393)</f>
        <v>47</v>
      </c>
      <c r="AE393">
        <v>0</v>
      </c>
      <c r="AF393">
        <v>6</v>
      </c>
      <c r="AG393">
        <v>25</v>
      </c>
      <c r="AH393">
        <f>Table3[[#This Row],[Flies_per_Vial]]*Table3[[#This Row],[Vials_Total_UsedInMaze]]</f>
        <v>150</v>
      </c>
      <c r="AI393">
        <f>Table3[[#This Row],[total_Flies]]/Table3[[#This Row],[flies_in]]</f>
        <v>0.31333333333333335</v>
      </c>
      <c r="AJ393">
        <v>2</v>
      </c>
      <c r="AK393" s="31">
        <f t="shared" ref="AK393:AK418" si="54">24*E393</f>
        <v>9.25</v>
      </c>
      <c r="AL393" s="31">
        <f t="shared" ref="AL393:AL418" si="55">24*F393</f>
        <v>12.5</v>
      </c>
      <c r="AM393" s="31">
        <f>Table3[[#This Row],[end_time_num]]-Table3[[#This Row],[start_time_num]]</f>
        <v>3.25</v>
      </c>
      <c r="AN393" t="s">
        <v>147</v>
      </c>
    </row>
    <row r="394" spans="1:40" x14ac:dyDescent="0.35">
      <c r="A394">
        <v>22</v>
      </c>
      <c r="B394">
        <v>1</v>
      </c>
      <c r="D394" t="s">
        <v>179</v>
      </c>
      <c r="E394" s="2">
        <v>0.38541666666666669</v>
      </c>
      <c r="F394" s="2">
        <v>0.52083333333333337</v>
      </c>
      <c r="G394" s="13">
        <v>0.13541666666666669</v>
      </c>
      <c r="H394" s="2" t="s">
        <v>136</v>
      </c>
      <c r="I394" t="s">
        <v>6</v>
      </c>
      <c r="J394">
        <v>2</v>
      </c>
      <c r="K394" t="s">
        <v>4</v>
      </c>
      <c r="L394" s="14" t="s">
        <v>0</v>
      </c>
      <c r="M394">
        <v>1</v>
      </c>
      <c r="N394">
        <v>4</v>
      </c>
      <c r="O394">
        <v>7</v>
      </c>
      <c r="P394">
        <v>1</v>
      </c>
      <c r="Q394">
        <v>3</v>
      </c>
      <c r="R394">
        <v>9</v>
      </c>
      <c r="S394">
        <v>15</v>
      </c>
      <c r="T394">
        <v>3</v>
      </c>
      <c r="U394">
        <v>1</v>
      </c>
      <c r="V394">
        <v>2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 s="18">
        <f>SUMPRODUCT(OG_Data!D$1:S$1, M394:AB394) /SUM(M394:AB394)</f>
        <v>5.958333333333333</v>
      </c>
      <c r="AD394">
        <f t="shared" si="53"/>
        <v>48</v>
      </c>
      <c r="AE394">
        <v>0</v>
      </c>
      <c r="AF394">
        <v>5</v>
      </c>
      <c r="AG394">
        <v>25</v>
      </c>
      <c r="AH394">
        <f>Table3[[#This Row],[Flies_per_Vial]]*Table3[[#This Row],[Vials_Total_UsedInMaze]]</f>
        <v>125</v>
      </c>
      <c r="AI394">
        <f>Table3[[#This Row],[total_Flies]]/Table3[[#This Row],[flies_in]]</f>
        <v>0.38400000000000001</v>
      </c>
      <c r="AJ394">
        <v>2</v>
      </c>
      <c r="AK394" s="31">
        <f t="shared" si="54"/>
        <v>9.25</v>
      </c>
      <c r="AL394" s="31">
        <f t="shared" si="55"/>
        <v>12.5</v>
      </c>
      <c r="AM394" s="31">
        <f>Table3[[#This Row],[end_time_num]]-Table3[[#This Row],[start_time_num]]</f>
        <v>3.25</v>
      </c>
      <c r="AN394" t="s">
        <v>147</v>
      </c>
    </row>
    <row r="395" spans="1:40" x14ac:dyDescent="0.35">
      <c r="A395">
        <v>22</v>
      </c>
      <c r="B395">
        <v>1</v>
      </c>
      <c r="D395" t="s">
        <v>179</v>
      </c>
      <c r="E395" s="2">
        <v>0.38541666666666669</v>
      </c>
      <c r="F395" s="2">
        <v>0.52083333333333337</v>
      </c>
      <c r="G395" s="13">
        <v>0.13541666666666669</v>
      </c>
      <c r="H395" s="2" t="s">
        <v>136</v>
      </c>
      <c r="I395" t="s">
        <v>6</v>
      </c>
      <c r="J395">
        <v>2</v>
      </c>
      <c r="K395" t="s">
        <v>2</v>
      </c>
      <c r="L395" s="14" t="s">
        <v>0</v>
      </c>
      <c r="M395">
        <v>12</v>
      </c>
      <c r="N395">
        <v>7</v>
      </c>
      <c r="O395">
        <v>16</v>
      </c>
      <c r="P395">
        <v>1</v>
      </c>
      <c r="Q395">
        <v>0</v>
      </c>
      <c r="R395">
        <v>12</v>
      </c>
      <c r="S395">
        <v>0</v>
      </c>
      <c r="T395">
        <v>1</v>
      </c>
      <c r="U395">
        <v>11</v>
      </c>
      <c r="V395">
        <v>4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 s="18">
        <f>SUMPRODUCT(OG_Data!D$1:S$1, M395:AB395) /SUM(M395:AB395)</f>
        <v>4.8939393939393936</v>
      </c>
      <c r="AD395">
        <f t="shared" si="53"/>
        <v>66</v>
      </c>
      <c r="AE395">
        <v>0</v>
      </c>
      <c r="AF395">
        <v>6</v>
      </c>
      <c r="AG395">
        <v>25</v>
      </c>
      <c r="AH395">
        <f>Table3[[#This Row],[Flies_per_Vial]]*Table3[[#This Row],[Vials_Total_UsedInMaze]]</f>
        <v>150</v>
      </c>
      <c r="AI395">
        <f>Table3[[#This Row],[total_Flies]]/Table3[[#This Row],[flies_in]]</f>
        <v>0.44</v>
      </c>
      <c r="AJ395">
        <v>2</v>
      </c>
      <c r="AK395" s="31">
        <f t="shared" si="54"/>
        <v>9.25</v>
      </c>
      <c r="AL395" s="31">
        <f t="shared" si="55"/>
        <v>12.5</v>
      </c>
      <c r="AM395" s="31">
        <f>Table3[[#This Row],[end_time_num]]-Table3[[#This Row],[start_time_num]]</f>
        <v>3.25</v>
      </c>
      <c r="AN395" t="s">
        <v>147</v>
      </c>
    </row>
    <row r="396" spans="1:40" x14ac:dyDescent="0.35">
      <c r="A396">
        <v>22</v>
      </c>
      <c r="B396">
        <v>1</v>
      </c>
      <c r="D396" t="s">
        <v>179</v>
      </c>
      <c r="E396" s="2">
        <v>0.38541666666666669</v>
      </c>
      <c r="F396" s="2">
        <v>0.52083333333333337</v>
      </c>
      <c r="G396" s="13">
        <v>0.13541666666666669</v>
      </c>
      <c r="H396" s="2" t="s">
        <v>136</v>
      </c>
      <c r="I396" t="s">
        <v>6</v>
      </c>
      <c r="J396">
        <v>2</v>
      </c>
      <c r="K396" t="s">
        <v>1</v>
      </c>
      <c r="L396" s="14" t="s">
        <v>3</v>
      </c>
      <c r="M396">
        <v>6</v>
      </c>
      <c r="N396">
        <v>13</v>
      </c>
      <c r="O396">
        <v>10</v>
      </c>
      <c r="P396">
        <v>7</v>
      </c>
      <c r="Q396">
        <v>8</v>
      </c>
      <c r="R396">
        <v>5</v>
      </c>
      <c r="S396">
        <v>0</v>
      </c>
      <c r="T396">
        <v>10</v>
      </c>
      <c r="U396">
        <v>2</v>
      </c>
      <c r="V396">
        <v>0</v>
      </c>
      <c r="W396">
        <v>1</v>
      </c>
      <c r="X396">
        <v>0</v>
      </c>
      <c r="Y396">
        <v>2</v>
      </c>
      <c r="Z396">
        <v>0</v>
      </c>
      <c r="AA396">
        <v>1</v>
      </c>
      <c r="AB396">
        <v>0</v>
      </c>
      <c r="AC396" s="18">
        <f>SUMPRODUCT(OG_Data!D$1:S$1, M396:AB396) /SUM(M396:AB396)</f>
        <v>4.7692307692307692</v>
      </c>
      <c r="AD396">
        <f t="shared" si="53"/>
        <v>65</v>
      </c>
      <c r="AE396">
        <v>0</v>
      </c>
      <c r="AF396">
        <v>6</v>
      </c>
      <c r="AG396">
        <v>25</v>
      </c>
      <c r="AH396">
        <f>Table3[[#This Row],[Flies_per_Vial]]*Table3[[#This Row],[Vials_Total_UsedInMaze]]</f>
        <v>150</v>
      </c>
      <c r="AI396">
        <f>Table3[[#This Row],[total_Flies]]/Table3[[#This Row],[flies_in]]</f>
        <v>0.43333333333333335</v>
      </c>
      <c r="AJ396">
        <v>2</v>
      </c>
      <c r="AK396" s="31">
        <f t="shared" si="54"/>
        <v>9.25</v>
      </c>
      <c r="AL396" s="31">
        <f t="shared" si="55"/>
        <v>12.5</v>
      </c>
      <c r="AM396" s="31">
        <f>Table3[[#This Row],[end_time_num]]-Table3[[#This Row],[start_time_num]]</f>
        <v>3.25</v>
      </c>
      <c r="AN396" t="s">
        <v>147</v>
      </c>
    </row>
    <row r="397" spans="1:40" x14ac:dyDescent="0.35">
      <c r="A397">
        <v>22</v>
      </c>
      <c r="B397">
        <v>1</v>
      </c>
      <c r="D397" t="s">
        <v>179</v>
      </c>
      <c r="E397" s="2">
        <v>0.56597222222222221</v>
      </c>
      <c r="F397" s="2">
        <v>0.6875</v>
      </c>
      <c r="G397" s="13">
        <v>0.12152777777777779</v>
      </c>
      <c r="H397" s="2" t="s">
        <v>142</v>
      </c>
      <c r="I397" t="s">
        <v>6</v>
      </c>
      <c r="J397">
        <v>1</v>
      </c>
      <c r="K397" t="s">
        <v>5</v>
      </c>
      <c r="L397" s="14" t="s">
        <v>3</v>
      </c>
      <c r="M397">
        <v>11</v>
      </c>
      <c r="N397">
        <v>8</v>
      </c>
      <c r="O397">
        <v>9</v>
      </c>
      <c r="P397">
        <v>3</v>
      </c>
      <c r="Q397">
        <v>12</v>
      </c>
      <c r="R397">
        <v>6</v>
      </c>
      <c r="S397">
        <v>5</v>
      </c>
      <c r="T397">
        <v>1</v>
      </c>
      <c r="U397">
        <v>3</v>
      </c>
      <c r="V397">
        <v>2</v>
      </c>
      <c r="W397">
        <v>3</v>
      </c>
      <c r="X397">
        <v>0</v>
      </c>
      <c r="Y397">
        <v>2</v>
      </c>
      <c r="Z397">
        <v>0</v>
      </c>
      <c r="AA397">
        <v>14</v>
      </c>
      <c r="AB397">
        <v>9</v>
      </c>
      <c r="AC397" s="18">
        <f>SUMPRODUCT(OG_Data!D$1:S$1, M397:AB397) /SUM(M397:AB397)</f>
        <v>7.5568181818181817</v>
      </c>
      <c r="AD397">
        <f t="shared" si="53"/>
        <v>88</v>
      </c>
      <c r="AE397">
        <v>0</v>
      </c>
      <c r="AF397">
        <v>6</v>
      </c>
      <c r="AG397">
        <v>25</v>
      </c>
      <c r="AH397">
        <f>Table3[[#This Row],[Flies_per_Vial]]*Table3[[#This Row],[Vials_Total_UsedInMaze]]</f>
        <v>150</v>
      </c>
      <c r="AI397">
        <f>Table3[[#This Row],[total_Flies]]/Table3[[#This Row],[flies_in]]</f>
        <v>0.58666666666666667</v>
      </c>
      <c r="AJ397">
        <v>0</v>
      </c>
      <c r="AK397" s="31">
        <f t="shared" si="54"/>
        <v>13.583333333333332</v>
      </c>
      <c r="AL397" s="31">
        <f t="shared" si="55"/>
        <v>16.5</v>
      </c>
      <c r="AM397" s="31">
        <f>Table3[[#This Row],[end_time_num]]-Table3[[#This Row],[start_time_num]]</f>
        <v>2.9166666666666679</v>
      </c>
      <c r="AN397" t="s">
        <v>147</v>
      </c>
    </row>
    <row r="398" spans="1:40" x14ac:dyDescent="0.35">
      <c r="A398">
        <v>22</v>
      </c>
      <c r="B398">
        <v>1</v>
      </c>
      <c r="D398" t="s">
        <v>179</v>
      </c>
      <c r="E398" s="2">
        <v>0.56597222222222221</v>
      </c>
      <c r="F398" s="2">
        <v>0.6875</v>
      </c>
      <c r="G398" s="13">
        <v>0.12152777777777779</v>
      </c>
      <c r="H398" s="2" t="s">
        <v>142</v>
      </c>
      <c r="I398" t="s">
        <v>6</v>
      </c>
      <c r="J398">
        <v>1</v>
      </c>
      <c r="K398" t="s">
        <v>4</v>
      </c>
      <c r="L398" s="14" t="s">
        <v>0</v>
      </c>
      <c r="M398">
        <v>24</v>
      </c>
      <c r="N398">
        <v>27</v>
      </c>
      <c r="O398">
        <v>10</v>
      </c>
      <c r="P398">
        <v>10</v>
      </c>
      <c r="Q398">
        <v>7</v>
      </c>
      <c r="R398">
        <v>8</v>
      </c>
      <c r="S398">
        <v>20</v>
      </c>
      <c r="T398">
        <v>25</v>
      </c>
      <c r="U398">
        <v>5</v>
      </c>
      <c r="V398">
        <v>2</v>
      </c>
      <c r="W398">
        <v>5</v>
      </c>
      <c r="X398">
        <v>1</v>
      </c>
      <c r="Y398">
        <v>0</v>
      </c>
      <c r="Z398">
        <v>0</v>
      </c>
      <c r="AA398">
        <v>0</v>
      </c>
      <c r="AB398">
        <v>0</v>
      </c>
      <c r="AC398" s="18">
        <f>SUMPRODUCT(OG_Data!D$1:S$1, M398:AB398) /SUM(M398:AB398)</f>
        <v>4.8819444444444446</v>
      </c>
      <c r="AD398">
        <f t="shared" si="53"/>
        <v>144</v>
      </c>
      <c r="AE398">
        <v>0</v>
      </c>
      <c r="AF398">
        <v>6</v>
      </c>
      <c r="AG398">
        <v>25</v>
      </c>
      <c r="AH398">
        <f>Table3[[#This Row],[Flies_per_Vial]]*Table3[[#This Row],[Vials_Total_UsedInMaze]]</f>
        <v>150</v>
      </c>
      <c r="AI398">
        <f>Table3[[#This Row],[total_Flies]]/Table3[[#This Row],[flies_in]]</f>
        <v>0.96</v>
      </c>
      <c r="AJ398">
        <v>0</v>
      </c>
      <c r="AK398" s="31">
        <f t="shared" si="54"/>
        <v>13.583333333333332</v>
      </c>
      <c r="AL398" s="31">
        <f t="shared" si="55"/>
        <v>16.5</v>
      </c>
      <c r="AM398" s="31">
        <f>Table3[[#This Row],[end_time_num]]-Table3[[#This Row],[start_time_num]]</f>
        <v>2.9166666666666679</v>
      </c>
      <c r="AN398" t="s">
        <v>147</v>
      </c>
    </row>
    <row r="399" spans="1:40" x14ac:dyDescent="0.35">
      <c r="A399">
        <v>22</v>
      </c>
      <c r="B399">
        <v>1</v>
      </c>
      <c r="D399" t="s">
        <v>179</v>
      </c>
      <c r="E399" s="2">
        <v>0.56597222222222221</v>
      </c>
      <c r="F399" s="2">
        <v>0.6875</v>
      </c>
      <c r="G399" s="13">
        <v>0.12152777777777779</v>
      </c>
      <c r="H399" s="2" t="s">
        <v>142</v>
      </c>
      <c r="I399" t="s">
        <v>6</v>
      </c>
      <c r="J399">
        <v>1</v>
      </c>
      <c r="K399" t="s">
        <v>2</v>
      </c>
      <c r="L399" s="14" t="s">
        <v>0</v>
      </c>
      <c r="M399">
        <v>22</v>
      </c>
      <c r="N399">
        <v>29</v>
      </c>
      <c r="O399">
        <v>19</v>
      </c>
      <c r="P399">
        <v>5</v>
      </c>
      <c r="Q399">
        <v>8</v>
      </c>
      <c r="R399">
        <v>11</v>
      </c>
      <c r="S399">
        <v>3</v>
      </c>
      <c r="T399">
        <v>4</v>
      </c>
      <c r="U399">
        <v>11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 s="18">
        <f>SUMPRODUCT(OG_Data!D$1:S$1, M399:AB399) /SUM(M399:AB399)</f>
        <v>3.8245614035087718</v>
      </c>
      <c r="AD399">
        <f t="shared" si="53"/>
        <v>114</v>
      </c>
      <c r="AE399">
        <v>0</v>
      </c>
      <c r="AF399">
        <v>6</v>
      </c>
      <c r="AG399">
        <v>25</v>
      </c>
      <c r="AH399">
        <f>Table3[[#This Row],[Flies_per_Vial]]*Table3[[#This Row],[Vials_Total_UsedInMaze]]</f>
        <v>150</v>
      </c>
      <c r="AI399">
        <f>Table3[[#This Row],[total_Flies]]/Table3[[#This Row],[flies_in]]</f>
        <v>0.76</v>
      </c>
      <c r="AJ399">
        <v>0</v>
      </c>
      <c r="AK399" s="31">
        <f t="shared" si="54"/>
        <v>13.583333333333332</v>
      </c>
      <c r="AL399" s="31">
        <f t="shared" si="55"/>
        <v>16.5</v>
      </c>
      <c r="AM399" s="31">
        <f>Table3[[#This Row],[end_time_num]]-Table3[[#This Row],[start_time_num]]</f>
        <v>2.9166666666666679</v>
      </c>
      <c r="AN399" t="s">
        <v>147</v>
      </c>
    </row>
    <row r="400" spans="1:40" x14ac:dyDescent="0.35">
      <c r="A400">
        <v>22</v>
      </c>
      <c r="B400">
        <v>1</v>
      </c>
      <c r="D400" t="s">
        <v>179</v>
      </c>
      <c r="E400" s="2">
        <v>0.56597222222222221</v>
      </c>
      <c r="F400" s="2">
        <v>0.6875</v>
      </c>
      <c r="G400" s="13">
        <v>0.12152777777777779</v>
      </c>
      <c r="H400" s="2" t="s">
        <v>142</v>
      </c>
      <c r="I400" t="s">
        <v>6</v>
      </c>
      <c r="J400">
        <v>1</v>
      </c>
      <c r="K400" t="s">
        <v>1</v>
      </c>
      <c r="L400" s="14" t="s">
        <v>3</v>
      </c>
      <c r="M400">
        <v>20</v>
      </c>
      <c r="N400">
        <v>15</v>
      </c>
      <c r="O400">
        <v>19</v>
      </c>
      <c r="P400">
        <v>10</v>
      </c>
      <c r="Q400">
        <v>11</v>
      </c>
      <c r="R400">
        <v>8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s="18">
        <f>SUMPRODUCT(OG_Data!D$1:S$1, M400:AB400) /SUM(M400:AB400)</f>
        <v>3.1954022988505746</v>
      </c>
      <c r="AD400">
        <f t="shared" si="53"/>
        <v>87</v>
      </c>
      <c r="AE400">
        <v>0</v>
      </c>
      <c r="AF400">
        <v>6</v>
      </c>
      <c r="AG400">
        <v>25</v>
      </c>
      <c r="AH400">
        <f>Table3[[#This Row],[Flies_per_Vial]]*Table3[[#This Row],[Vials_Total_UsedInMaze]]</f>
        <v>150</v>
      </c>
      <c r="AI400">
        <f>Table3[[#This Row],[total_Flies]]/Table3[[#This Row],[flies_in]]</f>
        <v>0.57999999999999996</v>
      </c>
      <c r="AJ400">
        <v>0</v>
      </c>
      <c r="AK400" s="31">
        <f t="shared" si="54"/>
        <v>13.583333333333332</v>
      </c>
      <c r="AL400" s="31">
        <f t="shared" si="55"/>
        <v>16.5</v>
      </c>
      <c r="AM400" s="31">
        <f>Table3[[#This Row],[end_time_num]]-Table3[[#This Row],[start_time_num]]</f>
        <v>2.9166666666666679</v>
      </c>
      <c r="AN400" t="s">
        <v>147</v>
      </c>
    </row>
    <row r="401" spans="1:40" x14ac:dyDescent="0.35">
      <c r="A401">
        <v>22</v>
      </c>
      <c r="B401">
        <v>2</v>
      </c>
      <c r="D401" t="s">
        <v>180</v>
      </c>
      <c r="E401" s="2">
        <v>0.37847222222222221</v>
      </c>
      <c r="F401" s="2">
        <v>0.52083333333333337</v>
      </c>
      <c r="G401" s="13">
        <v>0.14236111111111116</v>
      </c>
      <c r="H401" s="2" t="s">
        <v>136</v>
      </c>
      <c r="I401" t="s">
        <v>6</v>
      </c>
      <c r="J401">
        <v>4</v>
      </c>
      <c r="K401" t="s">
        <v>5</v>
      </c>
      <c r="L401" s="14" t="s">
        <v>3</v>
      </c>
      <c r="M401">
        <v>2</v>
      </c>
      <c r="N401">
        <v>4</v>
      </c>
      <c r="O401">
        <v>1</v>
      </c>
      <c r="P401">
        <v>0</v>
      </c>
      <c r="Q401">
        <v>4</v>
      </c>
      <c r="R401">
        <v>1</v>
      </c>
      <c r="S401">
        <v>3</v>
      </c>
      <c r="T401">
        <v>5</v>
      </c>
      <c r="U401">
        <v>9</v>
      </c>
      <c r="V401">
        <v>2</v>
      </c>
      <c r="W401">
        <v>5</v>
      </c>
      <c r="X401">
        <v>3</v>
      </c>
      <c r="Y401">
        <v>3</v>
      </c>
      <c r="Z401">
        <v>5</v>
      </c>
      <c r="AA401">
        <v>14</v>
      </c>
      <c r="AB401">
        <v>12</v>
      </c>
      <c r="AC401" s="18">
        <f>SUMPRODUCT(OG_Data!D$1:S$1, M401:AB401) /SUM(M401:AB401)</f>
        <v>11</v>
      </c>
      <c r="AD401">
        <f t="shared" si="53"/>
        <v>73</v>
      </c>
      <c r="AE401">
        <v>0</v>
      </c>
      <c r="AF401">
        <v>6</v>
      </c>
      <c r="AG401">
        <v>25</v>
      </c>
      <c r="AH401">
        <f>Table3[[#This Row],[Flies_per_Vial]]*Table3[[#This Row],[Vials_Total_UsedInMaze]]</f>
        <v>150</v>
      </c>
      <c r="AI401">
        <f>Table3[[#This Row],[total_Flies]]/Table3[[#This Row],[flies_in]]</f>
        <v>0.48666666666666669</v>
      </c>
      <c r="AJ401">
        <v>0</v>
      </c>
      <c r="AK401" s="31">
        <f t="shared" si="54"/>
        <v>9.0833333333333321</v>
      </c>
      <c r="AL401" s="31">
        <f t="shared" si="55"/>
        <v>12.5</v>
      </c>
      <c r="AM401" s="31">
        <f>Table3[[#This Row],[end_time_num]]-Table3[[#This Row],[start_time_num]]</f>
        <v>3.4166666666666679</v>
      </c>
      <c r="AN401" t="s">
        <v>147</v>
      </c>
    </row>
    <row r="402" spans="1:40" x14ac:dyDescent="0.35">
      <c r="A402">
        <v>22</v>
      </c>
      <c r="B402">
        <v>2</v>
      </c>
      <c r="D402" t="s">
        <v>180</v>
      </c>
      <c r="E402" s="2">
        <v>0.37847222222222221</v>
      </c>
      <c r="F402" s="2">
        <v>0.52083333333333337</v>
      </c>
      <c r="G402" s="13">
        <v>0.14236111111111116</v>
      </c>
      <c r="H402" s="2" t="s">
        <v>136</v>
      </c>
      <c r="I402" t="s">
        <v>6</v>
      </c>
      <c r="J402">
        <v>4</v>
      </c>
      <c r="K402" t="s">
        <v>2</v>
      </c>
      <c r="L402" s="14" t="s">
        <v>0</v>
      </c>
      <c r="M402">
        <v>12</v>
      </c>
      <c r="N402">
        <v>14</v>
      </c>
      <c r="O402">
        <v>12</v>
      </c>
      <c r="P402">
        <v>1</v>
      </c>
      <c r="Q402">
        <v>1</v>
      </c>
      <c r="R402">
        <v>3</v>
      </c>
      <c r="S402">
        <v>3</v>
      </c>
      <c r="T402">
        <v>2</v>
      </c>
      <c r="U402">
        <v>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s="18">
        <f>SUMPRODUCT(OG_Data!D$1:S$1, M402:AB402) /SUM(M402:AB402)</f>
        <v>3.4905660377358489</v>
      </c>
      <c r="AD402">
        <f t="shared" si="53"/>
        <v>53</v>
      </c>
      <c r="AE402">
        <v>4</v>
      </c>
      <c r="AF402">
        <v>4</v>
      </c>
      <c r="AG402">
        <v>25</v>
      </c>
      <c r="AH402">
        <f>Table3[[#This Row],[Flies_per_Vial]]*Table3[[#This Row],[Vials_Total_UsedInMaze]]</f>
        <v>100</v>
      </c>
      <c r="AI402">
        <f>Table3[[#This Row],[total_Flies]]/Table3[[#This Row],[flies_in]]</f>
        <v>0.53</v>
      </c>
      <c r="AJ402">
        <v>0</v>
      </c>
      <c r="AK402" s="31">
        <f t="shared" si="54"/>
        <v>9.0833333333333321</v>
      </c>
      <c r="AL402" s="31">
        <f t="shared" si="55"/>
        <v>12.5</v>
      </c>
      <c r="AM402" s="31">
        <f>Table3[[#This Row],[end_time_num]]-Table3[[#This Row],[start_time_num]]</f>
        <v>3.4166666666666679</v>
      </c>
      <c r="AN402" t="s">
        <v>147</v>
      </c>
    </row>
    <row r="403" spans="1:40" x14ac:dyDescent="0.35">
      <c r="A403">
        <v>22</v>
      </c>
      <c r="B403">
        <v>2</v>
      </c>
      <c r="D403" t="s">
        <v>180</v>
      </c>
      <c r="E403" s="2">
        <v>0.37847222222222221</v>
      </c>
      <c r="F403" s="2">
        <v>0.52083333333333337</v>
      </c>
      <c r="G403" s="13">
        <v>0.14236111111111116</v>
      </c>
      <c r="H403" s="2" t="s">
        <v>136</v>
      </c>
      <c r="I403" t="s">
        <v>6</v>
      </c>
      <c r="J403">
        <v>4</v>
      </c>
      <c r="K403" t="s">
        <v>1</v>
      </c>
      <c r="L403" s="14" t="s">
        <v>3</v>
      </c>
      <c r="M403">
        <v>24</v>
      </c>
      <c r="N403">
        <v>24</v>
      </c>
      <c r="O403">
        <v>21</v>
      </c>
      <c r="P403">
        <v>15</v>
      </c>
      <c r="Q403">
        <v>14</v>
      </c>
      <c r="R403">
        <v>7</v>
      </c>
      <c r="S403">
        <v>2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 s="18">
        <f>SUMPRODUCT(OG_Data!D$1:S$1, M403:AB403) /SUM(M403:AB403)</f>
        <v>3.2342342342342341</v>
      </c>
      <c r="AD403">
        <f t="shared" si="53"/>
        <v>111</v>
      </c>
      <c r="AE403">
        <v>0</v>
      </c>
      <c r="AF403">
        <v>6</v>
      </c>
      <c r="AG403">
        <v>25</v>
      </c>
      <c r="AH403">
        <f>Table3[[#This Row],[Flies_per_Vial]]*Table3[[#This Row],[Vials_Total_UsedInMaze]]</f>
        <v>150</v>
      </c>
      <c r="AI403">
        <f>Table3[[#This Row],[total_Flies]]/Table3[[#This Row],[flies_in]]</f>
        <v>0.74</v>
      </c>
      <c r="AJ403">
        <v>0</v>
      </c>
      <c r="AK403" s="31">
        <f t="shared" si="54"/>
        <v>9.0833333333333321</v>
      </c>
      <c r="AL403" s="31">
        <f t="shared" si="55"/>
        <v>12.5</v>
      </c>
      <c r="AM403" s="31">
        <f>Table3[[#This Row],[end_time_num]]-Table3[[#This Row],[start_time_num]]</f>
        <v>3.4166666666666679</v>
      </c>
      <c r="AN403" t="s">
        <v>147</v>
      </c>
    </row>
    <row r="404" spans="1:40" x14ac:dyDescent="0.35">
      <c r="A404">
        <v>22</v>
      </c>
      <c r="B404">
        <v>2</v>
      </c>
      <c r="D404" t="s">
        <v>180</v>
      </c>
      <c r="E404" s="2">
        <v>0.55555555555555558</v>
      </c>
      <c r="F404" s="2">
        <v>0.6875</v>
      </c>
      <c r="G404" s="13">
        <v>0.13194444444444442</v>
      </c>
      <c r="H404" s="2" t="s">
        <v>136</v>
      </c>
      <c r="I404" t="s">
        <v>6</v>
      </c>
      <c r="J404">
        <v>3</v>
      </c>
      <c r="K404" t="s">
        <v>5</v>
      </c>
      <c r="L404" s="14" t="s">
        <v>3</v>
      </c>
      <c r="M404">
        <v>13</v>
      </c>
      <c r="N404">
        <v>9</v>
      </c>
      <c r="O404">
        <v>5</v>
      </c>
      <c r="P404">
        <v>9</v>
      </c>
      <c r="Q404">
        <v>3</v>
      </c>
      <c r="R404">
        <v>3</v>
      </c>
      <c r="S404">
        <v>0</v>
      </c>
      <c r="T404">
        <v>4</v>
      </c>
      <c r="U404">
        <v>11</v>
      </c>
      <c r="V404">
        <v>5</v>
      </c>
      <c r="W404">
        <v>7</v>
      </c>
      <c r="X404">
        <v>1</v>
      </c>
      <c r="Y404">
        <v>5</v>
      </c>
      <c r="Z404">
        <v>1</v>
      </c>
      <c r="AA404">
        <v>13</v>
      </c>
      <c r="AB404">
        <v>4</v>
      </c>
      <c r="AC404" s="18">
        <f>SUMPRODUCT(OG_Data!D$1:S$1, M404:AB404) /SUM(M404:AB404)</f>
        <v>7.774193548387097</v>
      </c>
      <c r="AD404">
        <f t="shared" si="53"/>
        <v>93</v>
      </c>
      <c r="AE404">
        <v>0</v>
      </c>
      <c r="AF404">
        <v>5</v>
      </c>
      <c r="AG404">
        <v>25</v>
      </c>
      <c r="AH404">
        <f>Table3[[#This Row],[Flies_per_Vial]]*Table3[[#This Row],[Vials_Total_UsedInMaze]]</f>
        <v>125</v>
      </c>
      <c r="AI404">
        <f>Table3[[#This Row],[total_Flies]]/Table3[[#This Row],[flies_in]]</f>
        <v>0.74399999999999999</v>
      </c>
      <c r="AJ404">
        <v>0</v>
      </c>
      <c r="AK404" s="31">
        <f t="shared" si="54"/>
        <v>13.333333333333334</v>
      </c>
      <c r="AL404" s="31">
        <f t="shared" si="55"/>
        <v>16.5</v>
      </c>
      <c r="AM404" s="31">
        <f>Table3[[#This Row],[end_time_num]]-Table3[[#This Row],[start_time_num]]</f>
        <v>3.1666666666666661</v>
      </c>
      <c r="AN404" t="s">
        <v>148</v>
      </c>
    </row>
    <row r="405" spans="1:40" x14ac:dyDescent="0.35">
      <c r="A405">
        <v>22</v>
      </c>
      <c r="B405">
        <v>2</v>
      </c>
      <c r="D405" t="s">
        <v>180</v>
      </c>
      <c r="E405" s="2">
        <v>0.55555555555555558</v>
      </c>
      <c r="F405" s="2">
        <v>0.6875</v>
      </c>
      <c r="G405" s="13">
        <v>0.13194444444444442</v>
      </c>
      <c r="H405" s="2" t="s">
        <v>136</v>
      </c>
      <c r="I405" t="s">
        <v>6</v>
      </c>
      <c r="J405">
        <v>3</v>
      </c>
      <c r="K405" t="s">
        <v>2</v>
      </c>
      <c r="L405" s="14" t="s">
        <v>0</v>
      </c>
      <c r="M405">
        <v>24</v>
      </c>
      <c r="N405">
        <v>32</v>
      </c>
      <c r="O405">
        <v>21</v>
      </c>
      <c r="P405">
        <v>2</v>
      </c>
      <c r="Q405">
        <v>4</v>
      </c>
      <c r="R405">
        <v>7</v>
      </c>
      <c r="S405">
        <v>2</v>
      </c>
      <c r="T405">
        <v>3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s="18">
        <f>SUMPRODUCT(OG_Data!D$1:S$1, M405:AB405) /SUM(M405:AB405)</f>
        <v>2.8556701030927836</v>
      </c>
      <c r="AD405">
        <f t="shared" si="53"/>
        <v>97</v>
      </c>
      <c r="AE405">
        <v>7</v>
      </c>
      <c r="AF405">
        <v>7</v>
      </c>
      <c r="AG405">
        <v>25</v>
      </c>
      <c r="AH405">
        <f>Table3[[#This Row],[Flies_per_Vial]]*Table3[[#This Row],[Vials_Total_UsedInMaze]]</f>
        <v>175</v>
      </c>
      <c r="AI405">
        <f>Table3[[#This Row],[total_Flies]]/Table3[[#This Row],[flies_in]]</f>
        <v>0.55428571428571427</v>
      </c>
      <c r="AJ405">
        <v>0</v>
      </c>
      <c r="AK405" s="31">
        <f t="shared" si="54"/>
        <v>13.333333333333334</v>
      </c>
      <c r="AL405" s="31">
        <f t="shared" si="55"/>
        <v>16.5</v>
      </c>
      <c r="AM405" s="31">
        <f>Table3[[#This Row],[end_time_num]]-Table3[[#This Row],[start_time_num]]</f>
        <v>3.1666666666666661</v>
      </c>
      <c r="AN405" t="s">
        <v>148</v>
      </c>
    </row>
    <row r="406" spans="1:40" x14ac:dyDescent="0.35">
      <c r="A406">
        <v>22</v>
      </c>
      <c r="B406">
        <v>2</v>
      </c>
      <c r="D406" t="s">
        <v>180</v>
      </c>
      <c r="E406" s="2">
        <v>0.55555555555555558</v>
      </c>
      <c r="F406" s="2">
        <v>0.6875</v>
      </c>
      <c r="G406" s="13">
        <v>0.13194444444444442</v>
      </c>
      <c r="H406" s="2" t="s">
        <v>136</v>
      </c>
      <c r="I406" t="s">
        <v>6</v>
      </c>
      <c r="J406">
        <v>3</v>
      </c>
      <c r="K406" t="s">
        <v>1</v>
      </c>
      <c r="L406" s="14" t="s">
        <v>3</v>
      </c>
      <c r="M406">
        <v>19</v>
      </c>
      <c r="N406">
        <v>28</v>
      </c>
      <c r="O406">
        <v>15</v>
      </c>
      <c r="P406">
        <v>14</v>
      </c>
      <c r="Q406">
        <v>7</v>
      </c>
      <c r="R406">
        <v>6</v>
      </c>
      <c r="S406">
        <v>3</v>
      </c>
      <c r="T406">
        <v>3</v>
      </c>
      <c r="U406">
        <v>0</v>
      </c>
      <c r="V406">
        <v>1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0</v>
      </c>
      <c r="AC406" s="18">
        <f>SUMPRODUCT(OG_Data!D$1:S$1, M406:AB406) /SUM(M406:AB406)</f>
        <v>3.393939393939394</v>
      </c>
      <c r="AD406">
        <f t="shared" si="53"/>
        <v>99</v>
      </c>
      <c r="AE406">
        <v>0</v>
      </c>
      <c r="AF406">
        <v>7</v>
      </c>
      <c r="AG406">
        <v>25</v>
      </c>
      <c r="AH406">
        <f>Table3[[#This Row],[Flies_per_Vial]]*Table3[[#This Row],[Vials_Total_UsedInMaze]]</f>
        <v>175</v>
      </c>
      <c r="AI406">
        <f>Table3[[#This Row],[total_Flies]]/Table3[[#This Row],[flies_in]]</f>
        <v>0.56571428571428573</v>
      </c>
      <c r="AJ406">
        <v>0</v>
      </c>
      <c r="AK406" s="31">
        <f t="shared" si="54"/>
        <v>13.333333333333334</v>
      </c>
      <c r="AL406" s="31">
        <f t="shared" si="55"/>
        <v>16.5</v>
      </c>
      <c r="AM406" s="31">
        <f>Table3[[#This Row],[end_time_num]]-Table3[[#This Row],[start_time_num]]</f>
        <v>3.1666666666666661</v>
      </c>
      <c r="AN406" t="s">
        <v>148</v>
      </c>
    </row>
    <row r="407" spans="1:40" x14ac:dyDescent="0.35">
      <c r="A407">
        <v>23</v>
      </c>
      <c r="B407">
        <v>1</v>
      </c>
      <c r="D407" t="s">
        <v>181</v>
      </c>
      <c r="E407" s="2">
        <v>0.39930555555555558</v>
      </c>
      <c r="F407" s="2">
        <v>0.53611111111111109</v>
      </c>
      <c r="G407" s="13">
        <v>0.13680555555555551</v>
      </c>
      <c r="H407" s="2" t="s">
        <v>136</v>
      </c>
      <c r="I407" t="s">
        <v>6</v>
      </c>
      <c r="J407">
        <v>2</v>
      </c>
      <c r="K407" t="s">
        <v>5</v>
      </c>
      <c r="L407" s="14" t="s">
        <v>0</v>
      </c>
      <c r="M407">
        <v>6</v>
      </c>
      <c r="N407">
        <v>5</v>
      </c>
      <c r="O407">
        <v>4</v>
      </c>
      <c r="P407">
        <v>6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3</v>
      </c>
      <c r="X407">
        <v>1</v>
      </c>
      <c r="Y407">
        <v>7</v>
      </c>
      <c r="Z407">
        <v>0</v>
      </c>
      <c r="AA407">
        <v>0</v>
      </c>
      <c r="AB407">
        <v>0</v>
      </c>
      <c r="AC407" s="18">
        <f>SUMPRODUCT(OG_Data!D$1:S$1, M407:AB407) /SUM(M407:AB407)</f>
        <v>6.1315789473684212</v>
      </c>
      <c r="AD407">
        <f t="shared" si="53"/>
        <v>38</v>
      </c>
      <c r="AE407">
        <v>3</v>
      </c>
      <c r="AF407">
        <v>4</v>
      </c>
      <c r="AG407">
        <v>25</v>
      </c>
      <c r="AH407">
        <f>Table3[[#This Row],[Flies_per_Vial]]*Table3[[#This Row],[Vials_Total_UsedInMaze]]</f>
        <v>100</v>
      </c>
      <c r="AI407">
        <f>Table3[[#This Row],[total_Flies]]/Table3[[#This Row],[flies_in]]</f>
        <v>0.38</v>
      </c>
      <c r="AJ407">
        <v>0</v>
      </c>
      <c r="AK407" s="31">
        <f>24*E407</f>
        <v>9.5833333333333339</v>
      </c>
      <c r="AL407" s="31">
        <f t="shared" si="55"/>
        <v>12.866666666666667</v>
      </c>
      <c r="AM407" s="31">
        <f>Table3[[#This Row],[end_time_num]]-Table3[[#This Row],[start_time_num]]</f>
        <v>3.2833333333333332</v>
      </c>
      <c r="AN407" t="s">
        <v>147</v>
      </c>
    </row>
    <row r="408" spans="1:40" x14ac:dyDescent="0.35">
      <c r="A408">
        <v>23</v>
      </c>
      <c r="B408">
        <v>1</v>
      </c>
      <c r="D408" t="s">
        <v>181</v>
      </c>
      <c r="E408" s="2">
        <v>0.39930555555555558</v>
      </c>
      <c r="F408" s="2">
        <v>0.53125</v>
      </c>
      <c r="G408" s="13">
        <v>0.13194444444444442</v>
      </c>
      <c r="H408" s="2" t="s">
        <v>136</v>
      </c>
      <c r="I408" t="s">
        <v>6</v>
      </c>
      <c r="J408">
        <v>2</v>
      </c>
      <c r="K408" t="s">
        <v>4</v>
      </c>
      <c r="L408" s="14" t="s">
        <v>3</v>
      </c>
      <c r="M408">
        <v>2</v>
      </c>
      <c r="N408">
        <v>3</v>
      </c>
      <c r="O408">
        <v>4</v>
      </c>
      <c r="P408">
        <v>6</v>
      </c>
      <c r="Q408">
        <v>8</v>
      </c>
      <c r="R408">
        <v>8</v>
      </c>
      <c r="S408">
        <v>4</v>
      </c>
      <c r="T408">
        <v>11</v>
      </c>
      <c r="U408">
        <v>10</v>
      </c>
      <c r="V408">
        <v>5</v>
      </c>
      <c r="W408">
        <v>3</v>
      </c>
      <c r="X408">
        <v>0</v>
      </c>
      <c r="Y408">
        <v>1</v>
      </c>
      <c r="Z408">
        <v>0</v>
      </c>
      <c r="AA408">
        <v>3</v>
      </c>
      <c r="AB408">
        <v>3</v>
      </c>
      <c r="AC408" s="18">
        <f>SUMPRODUCT(OG_Data!D$1:S$1, M408:AB408) /SUM(M408:AB408)</f>
        <v>7.422535211267606</v>
      </c>
      <c r="AD408">
        <f t="shared" si="53"/>
        <v>71</v>
      </c>
      <c r="AE408">
        <v>0</v>
      </c>
      <c r="AF408">
        <v>6</v>
      </c>
      <c r="AG408">
        <v>25</v>
      </c>
      <c r="AH408">
        <f>Table3[[#This Row],[Flies_per_Vial]]*Table3[[#This Row],[Vials_Total_UsedInMaze]]</f>
        <v>150</v>
      </c>
      <c r="AI408">
        <f>Table3[[#This Row],[total_Flies]]/Table3[[#This Row],[flies_in]]</f>
        <v>0.47333333333333333</v>
      </c>
      <c r="AJ408">
        <v>0</v>
      </c>
      <c r="AK408" s="31">
        <f>24*E408</f>
        <v>9.5833333333333339</v>
      </c>
      <c r="AL408" s="31">
        <f t="shared" si="55"/>
        <v>12.75</v>
      </c>
      <c r="AM408" s="31">
        <f>Table3[[#This Row],[end_time_num]]-Table3[[#This Row],[start_time_num]]</f>
        <v>3.1666666666666661</v>
      </c>
      <c r="AN408" t="s">
        <v>147</v>
      </c>
    </row>
    <row r="409" spans="1:40" x14ac:dyDescent="0.35">
      <c r="A409">
        <v>23</v>
      </c>
      <c r="B409">
        <v>1</v>
      </c>
      <c r="D409" t="s">
        <v>181</v>
      </c>
      <c r="E409" s="2">
        <v>0.39930555555555558</v>
      </c>
      <c r="F409" s="2">
        <v>0.52847222222222223</v>
      </c>
      <c r="G409" s="13">
        <v>0.12916666666666665</v>
      </c>
      <c r="H409" s="2" t="s">
        <v>136</v>
      </c>
      <c r="I409" t="s">
        <v>6</v>
      </c>
      <c r="J409">
        <v>2</v>
      </c>
      <c r="K409" t="s">
        <v>2</v>
      </c>
      <c r="L409" s="14" t="s">
        <v>3</v>
      </c>
      <c r="M409">
        <v>12</v>
      </c>
      <c r="N409">
        <v>11</v>
      </c>
      <c r="O409">
        <v>0</v>
      </c>
      <c r="P409">
        <v>12</v>
      </c>
      <c r="Q409">
        <v>1</v>
      </c>
      <c r="R409">
        <v>1</v>
      </c>
      <c r="S409">
        <v>6</v>
      </c>
      <c r="T409">
        <v>4</v>
      </c>
      <c r="U409">
        <v>10</v>
      </c>
      <c r="V409">
        <v>9</v>
      </c>
      <c r="W409">
        <v>7</v>
      </c>
      <c r="X409">
        <v>7</v>
      </c>
      <c r="Y409">
        <v>2</v>
      </c>
      <c r="Z409">
        <v>0</v>
      </c>
      <c r="AA409">
        <v>0</v>
      </c>
      <c r="AB409">
        <v>1</v>
      </c>
      <c r="AC409" s="18">
        <f>SUMPRODUCT(OG_Data!D$1:S$1, M409:AB409) /SUM(M409:AB409)</f>
        <v>6.6265060240963853</v>
      </c>
      <c r="AD409">
        <f t="shared" si="53"/>
        <v>83</v>
      </c>
      <c r="AE409">
        <v>0</v>
      </c>
      <c r="AF409">
        <v>6</v>
      </c>
      <c r="AG409">
        <v>25</v>
      </c>
      <c r="AH409">
        <f>Table3[[#This Row],[Flies_per_Vial]]*Table3[[#This Row],[Vials_Total_UsedInMaze]]</f>
        <v>150</v>
      </c>
      <c r="AI409">
        <f>Table3[[#This Row],[total_Flies]]/Table3[[#This Row],[flies_in]]</f>
        <v>0.55333333333333334</v>
      </c>
      <c r="AJ409">
        <v>0</v>
      </c>
      <c r="AK409" s="31">
        <f t="shared" si="54"/>
        <v>9.5833333333333339</v>
      </c>
      <c r="AL409" s="31">
        <f t="shared" si="55"/>
        <v>12.683333333333334</v>
      </c>
      <c r="AM409" s="31">
        <f>Table3[[#This Row],[end_time_num]]-Table3[[#This Row],[start_time_num]]</f>
        <v>3.0999999999999996</v>
      </c>
      <c r="AN409" t="s">
        <v>147</v>
      </c>
    </row>
    <row r="410" spans="1:40" x14ac:dyDescent="0.35">
      <c r="A410">
        <v>23</v>
      </c>
      <c r="B410">
        <v>1</v>
      </c>
      <c r="D410" t="s">
        <v>181</v>
      </c>
      <c r="E410" s="2">
        <v>0.39930555555555558</v>
      </c>
      <c r="F410" s="2">
        <v>0.52430555555555558</v>
      </c>
      <c r="G410" s="13">
        <v>0.125</v>
      </c>
      <c r="H410" s="2" t="s">
        <v>136</v>
      </c>
      <c r="I410" t="s">
        <v>6</v>
      </c>
      <c r="J410">
        <v>2</v>
      </c>
      <c r="K410" t="s">
        <v>1</v>
      </c>
      <c r="L410" s="14" t="s">
        <v>0</v>
      </c>
      <c r="M410">
        <v>7</v>
      </c>
      <c r="N410">
        <v>14</v>
      </c>
      <c r="O410">
        <v>9</v>
      </c>
      <c r="P410">
        <v>11</v>
      </c>
      <c r="Q410">
        <v>15</v>
      </c>
      <c r="R410">
        <v>8</v>
      </c>
      <c r="S410">
        <v>5</v>
      </c>
      <c r="T410">
        <v>2</v>
      </c>
      <c r="U410">
        <v>3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 s="18">
        <f>SUMPRODUCT(OG_Data!D$1:S$1, M410:AB410) /SUM(M410:AB410)</f>
        <v>4.24</v>
      </c>
      <c r="AD410">
        <f t="shared" si="53"/>
        <v>75</v>
      </c>
      <c r="AE410">
        <v>4</v>
      </c>
      <c r="AF410">
        <v>4</v>
      </c>
      <c r="AG410">
        <v>25</v>
      </c>
      <c r="AH410">
        <f>Table3[[#This Row],[Flies_per_Vial]]*Table3[[#This Row],[Vials_Total_UsedInMaze]]</f>
        <v>100</v>
      </c>
      <c r="AI410">
        <f>Table3[[#This Row],[total_Flies]]/Table3[[#This Row],[flies_in]]</f>
        <v>0.75</v>
      </c>
      <c r="AJ410">
        <v>0</v>
      </c>
      <c r="AK410" s="31">
        <f t="shared" si="54"/>
        <v>9.5833333333333339</v>
      </c>
      <c r="AL410" s="31">
        <f t="shared" si="55"/>
        <v>12.583333333333334</v>
      </c>
      <c r="AM410" s="31">
        <f>Table3[[#This Row],[end_time_num]]-Table3[[#This Row],[start_time_num]]</f>
        <v>3</v>
      </c>
      <c r="AN410" t="s">
        <v>147</v>
      </c>
    </row>
    <row r="411" spans="1:40" x14ac:dyDescent="0.35">
      <c r="A411">
        <v>23</v>
      </c>
      <c r="B411">
        <v>1</v>
      </c>
      <c r="D411" t="s">
        <v>181</v>
      </c>
      <c r="E411" s="2">
        <v>0.55208333333333337</v>
      </c>
      <c r="F411" s="2">
        <v>0.69791666666666663</v>
      </c>
      <c r="G411" s="13">
        <v>0.14583333333333326</v>
      </c>
      <c r="H411" s="2" t="s">
        <v>142</v>
      </c>
      <c r="I411" t="s">
        <v>6</v>
      </c>
      <c r="J411">
        <v>1</v>
      </c>
      <c r="K411" t="s">
        <v>5</v>
      </c>
      <c r="L411" s="14" t="s">
        <v>0</v>
      </c>
      <c r="M411">
        <v>6</v>
      </c>
      <c r="N411">
        <v>7</v>
      </c>
      <c r="O411">
        <v>11</v>
      </c>
      <c r="P411">
        <v>7</v>
      </c>
      <c r="Q411">
        <v>9</v>
      </c>
      <c r="R411">
        <v>5</v>
      </c>
      <c r="S411">
        <v>0</v>
      </c>
      <c r="T411">
        <v>2</v>
      </c>
      <c r="U411">
        <v>5</v>
      </c>
      <c r="V411">
        <v>0</v>
      </c>
      <c r="W411">
        <v>6</v>
      </c>
      <c r="X411">
        <v>3</v>
      </c>
      <c r="Y411">
        <v>6</v>
      </c>
      <c r="Z411">
        <v>3</v>
      </c>
      <c r="AA411">
        <v>19</v>
      </c>
      <c r="AB411">
        <v>1</v>
      </c>
      <c r="AC411" s="18">
        <f>SUMPRODUCT(OG_Data!D$1:S$1, M411:AB411) /SUM(M411:AB411)</f>
        <v>8.2222222222222214</v>
      </c>
      <c r="AD411">
        <f t="shared" si="53"/>
        <v>90</v>
      </c>
      <c r="AE411">
        <v>2</v>
      </c>
      <c r="AF411">
        <v>3</v>
      </c>
      <c r="AG411">
        <v>25</v>
      </c>
      <c r="AH411">
        <f>Table3[[#This Row],[Flies_per_Vial]]*Table3[[#This Row],[Vials_Total_UsedInMaze]]</f>
        <v>75</v>
      </c>
      <c r="AI411">
        <f>Table3[[#This Row],[total_Flies]]/Table3[[#This Row],[flies_in]]</f>
        <v>1.2</v>
      </c>
      <c r="AJ411">
        <v>0</v>
      </c>
      <c r="AK411" s="31">
        <f t="shared" si="54"/>
        <v>13.25</v>
      </c>
      <c r="AL411" s="31">
        <f t="shared" si="55"/>
        <v>16.75</v>
      </c>
      <c r="AM411" s="31">
        <f>Table3[[#This Row],[end_time_num]]-Table3[[#This Row],[start_time_num]]</f>
        <v>3.5</v>
      </c>
      <c r="AN411" t="s">
        <v>147</v>
      </c>
    </row>
    <row r="412" spans="1:40" x14ac:dyDescent="0.35">
      <c r="A412">
        <v>23</v>
      </c>
      <c r="B412">
        <v>1</v>
      </c>
      <c r="D412" t="s">
        <v>181</v>
      </c>
      <c r="E412" s="2">
        <v>0.55208333333333337</v>
      </c>
      <c r="F412" s="2">
        <v>0.69444444444444442</v>
      </c>
      <c r="G412" s="13">
        <v>0.14236111111111105</v>
      </c>
      <c r="H412" s="2" t="s">
        <v>142</v>
      </c>
      <c r="I412" t="s">
        <v>6</v>
      </c>
      <c r="J412">
        <v>1</v>
      </c>
      <c r="K412" t="s">
        <v>4</v>
      </c>
      <c r="L412" s="14" t="s">
        <v>3</v>
      </c>
      <c r="M412">
        <v>1</v>
      </c>
      <c r="N412">
        <v>2</v>
      </c>
      <c r="O412">
        <v>2</v>
      </c>
      <c r="P412">
        <v>2</v>
      </c>
      <c r="Q412">
        <v>5</v>
      </c>
      <c r="R412">
        <v>8</v>
      </c>
      <c r="S412">
        <v>3</v>
      </c>
      <c r="T412">
        <v>4</v>
      </c>
      <c r="U412">
        <v>15</v>
      </c>
      <c r="V412">
        <v>18</v>
      </c>
      <c r="W412">
        <v>7</v>
      </c>
      <c r="X412">
        <v>3</v>
      </c>
      <c r="Y412">
        <v>9</v>
      </c>
      <c r="Z412">
        <v>10</v>
      </c>
      <c r="AA412">
        <v>9</v>
      </c>
      <c r="AB412">
        <v>5</v>
      </c>
      <c r="AC412" s="18">
        <f>SUMPRODUCT(OG_Data!D$1:S$1, M412:AB412) /SUM(M412:AB412)</f>
        <v>10.145631067961165</v>
      </c>
      <c r="AD412">
        <f t="shared" si="53"/>
        <v>103</v>
      </c>
      <c r="AE412">
        <v>0</v>
      </c>
      <c r="AF412">
        <v>6</v>
      </c>
      <c r="AG412">
        <v>25</v>
      </c>
      <c r="AH412">
        <f>Table3[[#This Row],[Flies_per_Vial]]*Table3[[#This Row],[Vials_Total_UsedInMaze]]</f>
        <v>150</v>
      </c>
      <c r="AI412">
        <f>Table3[[#This Row],[total_Flies]]/Table3[[#This Row],[flies_in]]</f>
        <v>0.68666666666666665</v>
      </c>
      <c r="AJ412">
        <v>0</v>
      </c>
      <c r="AK412" s="31">
        <f t="shared" si="54"/>
        <v>13.25</v>
      </c>
      <c r="AL412" s="31">
        <f t="shared" si="55"/>
        <v>16.666666666666664</v>
      </c>
      <c r="AM412" s="31">
        <f>Table3[[#This Row],[end_time_num]]-Table3[[#This Row],[start_time_num]]</f>
        <v>3.4166666666666643</v>
      </c>
      <c r="AN412" t="s">
        <v>147</v>
      </c>
    </row>
    <row r="413" spans="1:40" x14ac:dyDescent="0.35">
      <c r="A413">
        <v>23</v>
      </c>
      <c r="B413">
        <v>1</v>
      </c>
      <c r="D413" t="s">
        <v>181</v>
      </c>
      <c r="E413" s="2">
        <v>0.55208333333333337</v>
      </c>
      <c r="F413" s="2">
        <v>0.69097222222222221</v>
      </c>
      <c r="G413" s="13">
        <v>0.13888888888888884</v>
      </c>
      <c r="H413" s="2" t="s">
        <v>142</v>
      </c>
      <c r="I413" t="s">
        <v>6</v>
      </c>
      <c r="J413">
        <v>1</v>
      </c>
      <c r="K413" t="s">
        <v>2</v>
      </c>
      <c r="L413" s="14" t="s">
        <v>3</v>
      </c>
      <c r="M413">
        <v>36</v>
      </c>
      <c r="N413">
        <v>28</v>
      </c>
      <c r="O413">
        <v>22</v>
      </c>
      <c r="P413">
        <v>3</v>
      </c>
      <c r="Q413">
        <v>2</v>
      </c>
      <c r="R413">
        <v>8</v>
      </c>
      <c r="S413">
        <v>1</v>
      </c>
      <c r="T413">
        <v>6</v>
      </c>
      <c r="U413">
        <v>4</v>
      </c>
      <c r="V413">
        <v>2</v>
      </c>
      <c r="W413">
        <v>8</v>
      </c>
      <c r="X413">
        <v>2</v>
      </c>
      <c r="Y413">
        <v>0</v>
      </c>
      <c r="Z413">
        <v>0</v>
      </c>
      <c r="AA413">
        <v>1</v>
      </c>
      <c r="AB413">
        <v>0</v>
      </c>
      <c r="AC413" s="18">
        <f>SUMPRODUCT(OG_Data!D$1:S$1, M413:AB413) /SUM(M413:AB413)</f>
        <v>3.7886178861788617</v>
      </c>
      <c r="AD413">
        <f t="shared" si="53"/>
        <v>123</v>
      </c>
      <c r="AE413">
        <v>0</v>
      </c>
      <c r="AF413">
        <v>6</v>
      </c>
      <c r="AG413">
        <v>25</v>
      </c>
      <c r="AH413">
        <f>Table3[[#This Row],[Flies_per_Vial]]*Table3[[#This Row],[Vials_Total_UsedInMaze]]</f>
        <v>150</v>
      </c>
      <c r="AI413">
        <f>Table3[[#This Row],[total_Flies]]/Table3[[#This Row],[flies_in]]</f>
        <v>0.82</v>
      </c>
      <c r="AJ413">
        <v>0</v>
      </c>
      <c r="AK413" s="31">
        <f t="shared" si="54"/>
        <v>13.25</v>
      </c>
      <c r="AL413" s="31">
        <f t="shared" si="55"/>
        <v>16.583333333333332</v>
      </c>
      <c r="AM413" s="31">
        <f>Table3[[#This Row],[end_time_num]]-Table3[[#This Row],[start_time_num]]</f>
        <v>3.3333333333333321</v>
      </c>
      <c r="AN413" t="s">
        <v>147</v>
      </c>
    </row>
    <row r="414" spans="1:40" x14ac:dyDescent="0.35">
      <c r="A414">
        <v>23</v>
      </c>
      <c r="B414">
        <v>1</v>
      </c>
      <c r="D414" t="s">
        <v>181</v>
      </c>
      <c r="E414" s="2">
        <v>0.55208333333333337</v>
      </c>
      <c r="F414" s="2">
        <v>0.68680555555555556</v>
      </c>
      <c r="G414" s="13">
        <v>0.13472222222222219</v>
      </c>
      <c r="H414" s="2" t="s">
        <v>142</v>
      </c>
      <c r="I414" t="s">
        <v>6</v>
      </c>
      <c r="J414">
        <v>1</v>
      </c>
      <c r="K414" t="s">
        <v>1</v>
      </c>
      <c r="L414" s="14" t="s">
        <v>0</v>
      </c>
      <c r="M414">
        <v>15</v>
      </c>
      <c r="N414">
        <v>17</v>
      </c>
      <c r="O414">
        <v>7</v>
      </c>
      <c r="P414">
        <v>14</v>
      </c>
      <c r="Q414">
        <v>9</v>
      </c>
      <c r="R414">
        <v>11</v>
      </c>
      <c r="S414">
        <v>1</v>
      </c>
      <c r="T414">
        <v>4</v>
      </c>
      <c r="U414">
        <v>2</v>
      </c>
      <c r="V414">
        <v>0</v>
      </c>
      <c r="W414">
        <v>3</v>
      </c>
      <c r="X414">
        <v>1</v>
      </c>
      <c r="Y414">
        <v>0</v>
      </c>
      <c r="Z414">
        <v>0</v>
      </c>
      <c r="AA414">
        <v>0</v>
      </c>
      <c r="AB414">
        <v>0</v>
      </c>
      <c r="AC414" s="18">
        <f>SUMPRODUCT(OG_Data!D$1:S$1, M414:AB414) /SUM(M414:AB414)</f>
        <v>4.0357142857142856</v>
      </c>
      <c r="AD414">
        <f t="shared" si="53"/>
        <v>84</v>
      </c>
      <c r="AE414">
        <v>2</v>
      </c>
      <c r="AF414">
        <v>4</v>
      </c>
      <c r="AG414">
        <v>25</v>
      </c>
      <c r="AH414">
        <f>Table3[[#This Row],[Flies_per_Vial]]*Table3[[#This Row],[Vials_Total_UsedInMaze]]</f>
        <v>100</v>
      </c>
      <c r="AI414">
        <f>Table3[[#This Row],[total_Flies]]/Table3[[#This Row],[flies_in]]</f>
        <v>0.84</v>
      </c>
      <c r="AJ414">
        <v>0</v>
      </c>
      <c r="AK414" s="31">
        <f t="shared" si="54"/>
        <v>13.25</v>
      </c>
      <c r="AL414" s="31">
        <f t="shared" si="55"/>
        <v>16.483333333333334</v>
      </c>
      <c r="AM414" s="31">
        <f>Table3[[#This Row],[end_time_num]]-Table3[[#This Row],[start_time_num]]</f>
        <v>3.2333333333333343</v>
      </c>
      <c r="AN414" t="s">
        <v>147</v>
      </c>
    </row>
    <row r="415" spans="1:40" x14ac:dyDescent="0.35">
      <c r="A415">
        <v>23</v>
      </c>
      <c r="B415">
        <v>2</v>
      </c>
      <c r="D415" t="s">
        <v>182</v>
      </c>
      <c r="E415" s="2">
        <v>0.38055555555555554</v>
      </c>
      <c r="F415" s="2">
        <v>0.53472222222222221</v>
      </c>
      <c r="G415" s="13">
        <v>0.15416666666666667</v>
      </c>
      <c r="H415" s="2" t="s">
        <v>136</v>
      </c>
      <c r="I415" t="s">
        <v>6</v>
      </c>
      <c r="J415">
        <v>4</v>
      </c>
      <c r="K415" t="s">
        <v>5</v>
      </c>
      <c r="L415" s="14" t="s">
        <v>0</v>
      </c>
      <c r="M415">
        <v>8</v>
      </c>
      <c r="N415">
        <v>4</v>
      </c>
      <c r="O415">
        <v>6</v>
      </c>
      <c r="P415">
        <v>4</v>
      </c>
      <c r="Q415">
        <v>12</v>
      </c>
      <c r="R415">
        <v>3</v>
      </c>
      <c r="S415">
        <v>0</v>
      </c>
      <c r="T415">
        <v>0</v>
      </c>
      <c r="U415">
        <v>0</v>
      </c>
      <c r="V415">
        <v>2</v>
      </c>
      <c r="W415">
        <v>1</v>
      </c>
      <c r="X415">
        <v>2</v>
      </c>
      <c r="Y415">
        <v>0</v>
      </c>
      <c r="Z415">
        <v>1</v>
      </c>
      <c r="AA415">
        <v>5</v>
      </c>
      <c r="AB415">
        <v>2</v>
      </c>
      <c r="AC415" s="18">
        <f>SUMPRODUCT(OG_Data!D$1:S$1, M415:AB415) /SUM(M415:AB415)</f>
        <v>6.08</v>
      </c>
      <c r="AD415">
        <f t="shared" si="53"/>
        <v>50</v>
      </c>
      <c r="AE415">
        <v>0</v>
      </c>
      <c r="AF415">
        <v>5</v>
      </c>
      <c r="AG415">
        <v>25</v>
      </c>
      <c r="AH415">
        <f>Table3[[#This Row],[Flies_per_Vial]]*Table3[[#This Row],[Vials_Total_UsedInMaze]]</f>
        <v>125</v>
      </c>
      <c r="AI415">
        <f>Table3[[#This Row],[total_Flies]]/Table3[[#This Row],[flies_in]]</f>
        <v>0.4</v>
      </c>
      <c r="AJ415">
        <v>0</v>
      </c>
      <c r="AK415" s="31">
        <f t="shared" si="54"/>
        <v>9.1333333333333329</v>
      </c>
      <c r="AL415" s="31">
        <f t="shared" si="55"/>
        <v>12.833333333333332</v>
      </c>
      <c r="AM415" s="31">
        <f>Table3[[#This Row],[end_time_num]]-Table3[[#This Row],[start_time_num]]</f>
        <v>3.6999999999999993</v>
      </c>
      <c r="AN415" t="s">
        <v>148</v>
      </c>
    </row>
    <row r="416" spans="1:40" x14ac:dyDescent="0.35">
      <c r="A416">
        <v>23</v>
      </c>
      <c r="B416">
        <v>2</v>
      </c>
      <c r="D416" t="s">
        <v>182</v>
      </c>
      <c r="E416" s="2">
        <v>0.38055555555555554</v>
      </c>
      <c r="F416" s="2">
        <v>0.53055555555555556</v>
      </c>
      <c r="G416" s="13">
        <v>0.15000000000000002</v>
      </c>
      <c r="H416" s="2" t="s">
        <v>136</v>
      </c>
      <c r="I416" t="s">
        <v>6</v>
      </c>
      <c r="J416">
        <v>4</v>
      </c>
      <c r="K416" t="s">
        <v>4</v>
      </c>
      <c r="L416" s="14" t="s">
        <v>3</v>
      </c>
      <c r="M416">
        <v>3</v>
      </c>
      <c r="N416">
        <v>5</v>
      </c>
      <c r="O416">
        <v>3</v>
      </c>
      <c r="P416">
        <v>0</v>
      </c>
      <c r="Q416">
        <v>2</v>
      </c>
      <c r="R416">
        <v>2</v>
      </c>
      <c r="S416">
        <v>4</v>
      </c>
      <c r="T416">
        <v>8</v>
      </c>
      <c r="U416">
        <v>3</v>
      </c>
      <c r="V416">
        <v>3</v>
      </c>
      <c r="W416">
        <v>5</v>
      </c>
      <c r="X416">
        <v>2</v>
      </c>
      <c r="Y416">
        <v>4</v>
      </c>
      <c r="Z416">
        <v>0</v>
      </c>
      <c r="AA416">
        <v>1</v>
      </c>
      <c r="AB416">
        <v>1</v>
      </c>
      <c r="AC416" s="18">
        <f>SUMPRODUCT(OG_Data!D$1:S$1, M416:AB416) /SUM(M416:AB416)</f>
        <v>7.7173913043478262</v>
      </c>
      <c r="AD416">
        <f t="shared" si="53"/>
        <v>46</v>
      </c>
      <c r="AE416">
        <v>0</v>
      </c>
      <c r="AF416">
        <v>6</v>
      </c>
      <c r="AG416">
        <v>25</v>
      </c>
      <c r="AH416">
        <f>Table3[[#This Row],[Flies_per_Vial]]*Table3[[#This Row],[Vials_Total_UsedInMaze]]</f>
        <v>150</v>
      </c>
      <c r="AI416">
        <f>Table3[[#This Row],[total_Flies]]/Table3[[#This Row],[flies_in]]</f>
        <v>0.30666666666666664</v>
      </c>
      <c r="AJ416">
        <v>0</v>
      </c>
      <c r="AK416" s="31">
        <f t="shared" si="54"/>
        <v>9.1333333333333329</v>
      </c>
      <c r="AL416" s="31">
        <f t="shared" si="55"/>
        <v>12.733333333333334</v>
      </c>
      <c r="AM416" s="31">
        <f>Table3[[#This Row],[end_time_num]]-Table3[[#This Row],[start_time_num]]</f>
        <v>3.6000000000000014</v>
      </c>
      <c r="AN416" t="s">
        <v>148</v>
      </c>
    </row>
    <row r="417" spans="1:40" x14ac:dyDescent="0.35">
      <c r="A417">
        <v>23</v>
      </c>
      <c r="B417">
        <v>2</v>
      </c>
      <c r="D417" t="s">
        <v>182</v>
      </c>
      <c r="E417" s="2">
        <v>0.38055555555555554</v>
      </c>
      <c r="F417" s="2">
        <v>0.52361111111111114</v>
      </c>
      <c r="G417" s="13">
        <v>0.1430555555555556</v>
      </c>
      <c r="H417" s="2" t="s">
        <v>136</v>
      </c>
      <c r="I417" t="s">
        <v>6</v>
      </c>
      <c r="J417">
        <v>4</v>
      </c>
      <c r="K417" t="s">
        <v>2</v>
      </c>
      <c r="L417" s="14" t="s">
        <v>3</v>
      </c>
      <c r="M417">
        <v>9</v>
      </c>
      <c r="N417">
        <v>11</v>
      </c>
      <c r="O417">
        <v>20</v>
      </c>
      <c r="P417">
        <v>0</v>
      </c>
      <c r="Q417">
        <v>5</v>
      </c>
      <c r="R417">
        <v>1</v>
      </c>
      <c r="S417">
        <v>1</v>
      </c>
      <c r="T417">
        <v>2</v>
      </c>
      <c r="U417">
        <v>3</v>
      </c>
      <c r="V417">
        <v>4</v>
      </c>
      <c r="W417">
        <v>3</v>
      </c>
      <c r="X417">
        <v>0</v>
      </c>
      <c r="Y417">
        <v>1</v>
      </c>
      <c r="Z417">
        <v>0</v>
      </c>
      <c r="AA417">
        <v>0</v>
      </c>
      <c r="AB417">
        <v>0</v>
      </c>
      <c r="AC417" s="18">
        <f>SUMPRODUCT(OG_Data!D$1:S$1, M417:AB417) /SUM(M417:AB417)</f>
        <v>4.3</v>
      </c>
      <c r="AD417">
        <f t="shared" si="53"/>
        <v>60</v>
      </c>
      <c r="AE417">
        <v>0</v>
      </c>
      <c r="AF417">
        <v>6</v>
      </c>
      <c r="AG417">
        <v>25</v>
      </c>
      <c r="AH417">
        <f>Table3[[#This Row],[Flies_per_Vial]]*Table3[[#This Row],[Vials_Total_UsedInMaze]]</f>
        <v>150</v>
      </c>
      <c r="AI417">
        <f>Table3[[#This Row],[total_Flies]]/Table3[[#This Row],[flies_in]]</f>
        <v>0.4</v>
      </c>
      <c r="AJ417">
        <v>0</v>
      </c>
      <c r="AK417" s="31">
        <f t="shared" si="54"/>
        <v>9.1333333333333329</v>
      </c>
      <c r="AL417" s="31">
        <f t="shared" si="55"/>
        <v>12.566666666666666</v>
      </c>
      <c r="AM417" s="31">
        <f>Table3[[#This Row],[end_time_num]]-Table3[[#This Row],[start_time_num]]</f>
        <v>3.4333333333333336</v>
      </c>
      <c r="AN417" t="s">
        <v>148</v>
      </c>
    </row>
    <row r="418" spans="1:40" x14ac:dyDescent="0.35">
      <c r="A418">
        <v>23</v>
      </c>
      <c r="B418">
        <v>2</v>
      </c>
      <c r="D418" t="s">
        <v>182</v>
      </c>
      <c r="E418" s="2">
        <v>0.38055555555555554</v>
      </c>
      <c r="F418" s="2">
        <v>0.5180555555555556</v>
      </c>
      <c r="G418" s="13">
        <v>0.13750000000000007</v>
      </c>
      <c r="H418" s="2" t="s">
        <v>136</v>
      </c>
      <c r="I418" t="s">
        <v>6</v>
      </c>
      <c r="J418">
        <v>4</v>
      </c>
      <c r="K418" t="s">
        <v>1</v>
      </c>
      <c r="L418" s="14" t="s">
        <v>0</v>
      </c>
      <c r="M418">
        <v>14</v>
      </c>
      <c r="N418">
        <v>17</v>
      </c>
      <c r="O418">
        <v>10</v>
      </c>
      <c r="P418">
        <v>6</v>
      </c>
      <c r="Q418">
        <v>7</v>
      </c>
      <c r="R418">
        <v>10</v>
      </c>
      <c r="S418">
        <v>2</v>
      </c>
      <c r="T418">
        <v>3</v>
      </c>
      <c r="U418">
        <v>3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 s="18">
        <f>SUMPRODUCT(OG_Data!D$1:S$1, M418:AB418) /SUM(M418:AB418)</f>
        <v>3.7808219178082192</v>
      </c>
      <c r="AD418">
        <f t="shared" si="53"/>
        <v>73</v>
      </c>
      <c r="AE418">
        <v>0</v>
      </c>
      <c r="AF418">
        <v>5</v>
      </c>
      <c r="AG418">
        <v>25</v>
      </c>
      <c r="AH418">
        <f>Table3[[#This Row],[Flies_per_Vial]]*Table3[[#This Row],[Vials_Total_UsedInMaze]]</f>
        <v>125</v>
      </c>
      <c r="AI418">
        <f>Table3[[#This Row],[total_Flies]]/Table3[[#This Row],[flies_in]]</f>
        <v>0.58399999999999996</v>
      </c>
      <c r="AJ418">
        <v>0</v>
      </c>
      <c r="AK418" s="31">
        <f t="shared" si="54"/>
        <v>9.1333333333333329</v>
      </c>
      <c r="AL418" s="31">
        <f t="shared" si="55"/>
        <v>12.433333333333334</v>
      </c>
      <c r="AM418" s="31">
        <f>Table3[[#This Row],[end_time_num]]-Table3[[#This Row],[start_time_num]]</f>
        <v>3.3000000000000007</v>
      </c>
      <c r="AN418" t="s">
        <v>148</v>
      </c>
    </row>
    <row r="419" spans="1:40" x14ac:dyDescent="0.35">
      <c r="A419">
        <v>23</v>
      </c>
      <c r="B419">
        <v>2</v>
      </c>
      <c r="D419" t="s">
        <v>182</v>
      </c>
      <c r="E419" s="2">
        <v>0.57291666666666663</v>
      </c>
      <c r="F419" s="2">
        <v>0.69791666666666663</v>
      </c>
      <c r="G419" s="13">
        <v>0.125</v>
      </c>
      <c r="H419" s="2" t="s">
        <v>142</v>
      </c>
      <c r="I419" t="s">
        <v>6</v>
      </c>
      <c r="J419">
        <v>3</v>
      </c>
      <c r="K419" t="s">
        <v>5</v>
      </c>
      <c r="L419" s="14" t="s">
        <v>0</v>
      </c>
      <c r="M419">
        <v>11</v>
      </c>
      <c r="N419">
        <v>11</v>
      </c>
      <c r="O419">
        <v>10</v>
      </c>
      <c r="P419">
        <v>3</v>
      </c>
      <c r="Q419">
        <v>12</v>
      </c>
      <c r="R419">
        <v>3</v>
      </c>
      <c r="S419">
        <v>1</v>
      </c>
      <c r="T419">
        <v>0</v>
      </c>
      <c r="U419">
        <v>0</v>
      </c>
      <c r="V419">
        <v>4</v>
      </c>
      <c r="W419">
        <v>3</v>
      </c>
      <c r="X419">
        <v>0</v>
      </c>
      <c r="Y419">
        <v>2</v>
      </c>
      <c r="Z419">
        <v>5</v>
      </c>
      <c r="AA419">
        <v>7</v>
      </c>
      <c r="AB419">
        <v>0</v>
      </c>
      <c r="AC419" s="18">
        <f>SUMPRODUCT(OG_Data!D$1:S$1, M419:AB419) /SUM(M419:AB419)</f>
        <v>6.0277777777777777</v>
      </c>
      <c r="AD419">
        <f t="shared" si="53"/>
        <v>72</v>
      </c>
      <c r="AE419">
        <v>0</v>
      </c>
      <c r="AF419">
        <v>4</v>
      </c>
      <c r="AG419">
        <v>25</v>
      </c>
      <c r="AH419">
        <f>Table3[[#This Row],[Flies_per_Vial]]*Table3[[#This Row],[Vials_Total_UsedInMaze]]</f>
        <v>100</v>
      </c>
      <c r="AI419">
        <f>Table3[[#This Row],[total_Flies]]/Table3[[#This Row],[flies_in]]</f>
        <v>0.72</v>
      </c>
      <c r="AJ419">
        <v>0</v>
      </c>
      <c r="AK419" s="31">
        <f t="shared" ref="AK419:AL422" si="56">24*E419</f>
        <v>13.75</v>
      </c>
      <c r="AL419" s="31">
        <f t="shared" si="56"/>
        <v>16.75</v>
      </c>
      <c r="AM419" s="31">
        <f>Table3[[#This Row],[end_time_num]]-Table3[[#This Row],[start_time_num]]</f>
        <v>3</v>
      </c>
      <c r="AN419" t="s">
        <v>147</v>
      </c>
    </row>
    <row r="420" spans="1:40" x14ac:dyDescent="0.35">
      <c r="A420">
        <v>23</v>
      </c>
      <c r="B420">
        <v>2</v>
      </c>
      <c r="D420" t="s">
        <v>182</v>
      </c>
      <c r="E420" s="2">
        <v>0.57291666666666663</v>
      </c>
      <c r="F420" s="2">
        <v>0.69374999999999998</v>
      </c>
      <c r="G420" s="13">
        <v>0.12083333333333335</v>
      </c>
      <c r="H420" s="2" t="s">
        <v>142</v>
      </c>
      <c r="I420" t="s">
        <v>6</v>
      </c>
      <c r="J420">
        <v>3</v>
      </c>
      <c r="K420" t="s">
        <v>4</v>
      </c>
      <c r="L420" s="14" t="s">
        <v>3</v>
      </c>
      <c r="M420">
        <v>5</v>
      </c>
      <c r="N420">
        <v>0</v>
      </c>
      <c r="O420">
        <v>11</v>
      </c>
      <c r="P420">
        <v>2</v>
      </c>
      <c r="Q420">
        <v>2</v>
      </c>
      <c r="R420">
        <v>20</v>
      </c>
      <c r="S420">
        <v>20</v>
      </c>
      <c r="T420">
        <v>3</v>
      </c>
      <c r="U420">
        <v>6</v>
      </c>
      <c r="V420">
        <v>3</v>
      </c>
      <c r="W420">
        <v>1</v>
      </c>
      <c r="X420">
        <v>2</v>
      </c>
      <c r="Y420">
        <v>0</v>
      </c>
      <c r="Z420">
        <v>2</v>
      </c>
      <c r="AA420">
        <v>1</v>
      </c>
      <c r="AB420">
        <v>1</v>
      </c>
      <c r="AC420" s="18">
        <f>SUMPRODUCT(OG_Data!D$1:S$1, M420:AB420) /SUM(M420:AB420)</f>
        <v>6.556962025316456</v>
      </c>
      <c r="AD420">
        <f t="shared" si="53"/>
        <v>79</v>
      </c>
      <c r="AE420">
        <v>0</v>
      </c>
      <c r="AF420">
        <v>5</v>
      </c>
      <c r="AG420">
        <v>25</v>
      </c>
      <c r="AH420">
        <f>Table3[[#This Row],[Flies_per_Vial]]*Table3[[#This Row],[Vials_Total_UsedInMaze]]</f>
        <v>125</v>
      </c>
      <c r="AI420">
        <f>Table3[[#This Row],[total_Flies]]/Table3[[#This Row],[flies_in]]</f>
        <v>0.63200000000000001</v>
      </c>
      <c r="AJ420">
        <v>0</v>
      </c>
      <c r="AK420" s="31">
        <f t="shared" si="56"/>
        <v>13.75</v>
      </c>
      <c r="AL420" s="31">
        <f t="shared" si="56"/>
        <v>16.649999999999999</v>
      </c>
      <c r="AM420" s="31">
        <f>Table3[[#This Row],[end_time_num]]-Table3[[#This Row],[start_time_num]]</f>
        <v>2.8999999999999986</v>
      </c>
      <c r="AN420" t="s">
        <v>147</v>
      </c>
    </row>
    <row r="421" spans="1:40" x14ac:dyDescent="0.35">
      <c r="A421">
        <v>23</v>
      </c>
      <c r="B421">
        <v>2</v>
      </c>
      <c r="D421" t="s">
        <v>182</v>
      </c>
      <c r="E421" s="2">
        <v>0.57291666666666663</v>
      </c>
      <c r="F421" s="2">
        <v>0.68958333333333333</v>
      </c>
      <c r="G421" s="13">
        <v>0.1166666666666667</v>
      </c>
      <c r="H421" s="2" t="s">
        <v>142</v>
      </c>
      <c r="I421" t="s">
        <v>6</v>
      </c>
      <c r="J421">
        <v>3</v>
      </c>
      <c r="K421" t="s">
        <v>2</v>
      </c>
      <c r="L421" s="14" t="s">
        <v>3</v>
      </c>
      <c r="M421">
        <v>24</v>
      </c>
      <c r="N421">
        <v>25</v>
      </c>
      <c r="O421">
        <v>20</v>
      </c>
      <c r="P421">
        <v>0</v>
      </c>
      <c r="Q421">
        <v>3</v>
      </c>
      <c r="R421">
        <v>6</v>
      </c>
      <c r="S421">
        <v>1</v>
      </c>
      <c r="T421">
        <v>2</v>
      </c>
      <c r="U421">
        <v>7</v>
      </c>
      <c r="V421">
        <v>2</v>
      </c>
      <c r="W421">
        <v>3</v>
      </c>
      <c r="X421">
        <v>1</v>
      </c>
      <c r="Y421">
        <v>0</v>
      </c>
      <c r="Z421">
        <v>0</v>
      </c>
      <c r="AA421">
        <v>0</v>
      </c>
      <c r="AB421">
        <v>0</v>
      </c>
      <c r="AC421" s="18">
        <f>SUMPRODUCT(OG_Data!D$1:S$1, M421:AB421) /SUM(M421:AB421)</f>
        <v>3.5744680851063828</v>
      </c>
      <c r="AD421">
        <f t="shared" si="53"/>
        <v>94</v>
      </c>
      <c r="AE421">
        <v>0</v>
      </c>
      <c r="AF421">
        <v>5</v>
      </c>
      <c r="AG421">
        <v>25</v>
      </c>
      <c r="AH421">
        <f>Table3[[#This Row],[Flies_per_Vial]]*Table3[[#This Row],[Vials_Total_UsedInMaze]]</f>
        <v>125</v>
      </c>
      <c r="AI421">
        <f>Table3[[#This Row],[total_Flies]]/Table3[[#This Row],[flies_in]]</f>
        <v>0.752</v>
      </c>
      <c r="AJ421">
        <v>0</v>
      </c>
      <c r="AK421" s="31">
        <f t="shared" si="56"/>
        <v>13.75</v>
      </c>
      <c r="AL421" s="31">
        <f t="shared" si="56"/>
        <v>16.55</v>
      </c>
      <c r="AM421" s="31">
        <f>Table3[[#This Row],[end_time_num]]-Table3[[#This Row],[start_time_num]]</f>
        <v>2.8000000000000007</v>
      </c>
      <c r="AN421" t="s">
        <v>147</v>
      </c>
    </row>
    <row r="422" spans="1:40" x14ac:dyDescent="0.35">
      <c r="A422">
        <v>23</v>
      </c>
      <c r="B422">
        <v>2</v>
      </c>
      <c r="D422" t="s">
        <v>182</v>
      </c>
      <c r="E422" s="2">
        <v>0.57291666666666663</v>
      </c>
      <c r="F422" s="2">
        <v>0.68680555555555556</v>
      </c>
      <c r="G422" s="13">
        <v>0.11388888888888893</v>
      </c>
      <c r="H422" s="2" t="s">
        <v>142</v>
      </c>
      <c r="I422" t="s">
        <v>6</v>
      </c>
      <c r="J422">
        <v>3</v>
      </c>
      <c r="K422" t="s">
        <v>1</v>
      </c>
      <c r="L422" s="14" t="s">
        <v>0</v>
      </c>
      <c r="M422">
        <v>24</v>
      </c>
      <c r="N422">
        <v>23</v>
      </c>
      <c r="O422">
        <v>8</v>
      </c>
      <c r="P422">
        <v>8</v>
      </c>
      <c r="Q422">
        <v>12</v>
      </c>
      <c r="R422">
        <v>7</v>
      </c>
      <c r="S422">
        <v>3</v>
      </c>
      <c r="T422">
        <v>4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 s="18">
        <f>SUMPRODUCT(OG_Data!D$1:S$1, M422:AB422) /SUM(M422:AB422)</f>
        <v>3.3186813186813189</v>
      </c>
      <c r="AD422">
        <f t="shared" si="53"/>
        <v>91</v>
      </c>
      <c r="AE422">
        <v>0</v>
      </c>
      <c r="AF422">
        <v>4</v>
      </c>
      <c r="AG422">
        <v>25</v>
      </c>
      <c r="AH422">
        <f>Table3[[#This Row],[Flies_per_Vial]]*Table3[[#This Row],[Vials_Total_UsedInMaze]]</f>
        <v>100</v>
      </c>
      <c r="AI422">
        <f>Table3[[#This Row],[total_Flies]]/Table3[[#This Row],[flies_in]]</f>
        <v>0.91</v>
      </c>
      <c r="AJ422">
        <v>0</v>
      </c>
      <c r="AK422" s="31">
        <f t="shared" si="56"/>
        <v>13.75</v>
      </c>
      <c r="AL422" s="31">
        <f t="shared" si="56"/>
        <v>16.483333333333334</v>
      </c>
      <c r="AM422" s="31">
        <f>Table3[[#This Row],[end_time_num]]-Table3[[#This Row],[start_time_num]]</f>
        <v>2.7333333333333343</v>
      </c>
      <c r="AN422" t="s">
        <v>147</v>
      </c>
    </row>
    <row r="423" spans="1:40" x14ac:dyDescent="0.35">
      <c r="A423">
        <v>24</v>
      </c>
      <c r="B423">
        <v>1</v>
      </c>
      <c r="D423" t="s">
        <v>183</v>
      </c>
      <c r="E423" s="2">
        <v>0.38541666666666669</v>
      </c>
      <c r="F423" s="2">
        <v>0.5</v>
      </c>
      <c r="G423" s="13">
        <v>0.11458333333333331</v>
      </c>
      <c r="H423" s="2" t="s">
        <v>136</v>
      </c>
      <c r="I423" t="s">
        <v>6</v>
      </c>
      <c r="J423">
        <v>1</v>
      </c>
      <c r="K423" t="s">
        <v>5</v>
      </c>
      <c r="L423" s="14" t="s">
        <v>0</v>
      </c>
      <c r="M423">
        <v>12</v>
      </c>
      <c r="N423">
        <v>6</v>
      </c>
      <c r="O423">
        <v>5</v>
      </c>
      <c r="P423">
        <v>3</v>
      </c>
      <c r="Q423">
        <v>5</v>
      </c>
      <c r="R423">
        <v>9</v>
      </c>
      <c r="S423">
        <v>0</v>
      </c>
      <c r="T423">
        <v>3</v>
      </c>
      <c r="U423">
        <v>6</v>
      </c>
      <c r="V423">
        <v>10</v>
      </c>
      <c r="W423">
        <v>9</v>
      </c>
      <c r="X423">
        <v>7</v>
      </c>
      <c r="Y423">
        <v>10</v>
      </c>
      <c r="Z423">
        <v>0</v>
      </c>
      <c r="AA423">
        <v>4</v>
      </c>
      <c r="AB423">
        <v>3</v>
      </c>
      <c r="AC423" s="18">
        <f>SUMPRODUCT(OG_Data!D$1:S$1, M423:AB423) /SUM(M423:AB423)</f>
        <v>7.9239130434782608</v>
      </c>
      <c r="AD423">
        <f t="shared" ref="AD423:AD438" si="57">SUM(M423:AB423)</f>
        <v>92</v>
      </c>
      <c r="AE423">
        <v>0</v>
      </c>
      <c r="AF423">
        <v>6</v>
      </c>
      <c r="AG423">
        <v>25</v>
      </c>
      <c r="AH423">
        <f>Table3[[#This Row],[Flies_per_Vial]]*Table3[[#This Row],[Vials_Total_UsedInMaze]]</f>
        <v>150</v>
      </c>
      <c r="AI423">
        <f>Table3[[#This Row],[total_Flies]]/Table3[[#This Row],[flies_in]]</f>
        <v>0.61333333333333329</v>
      </c>
      <c r="AJ423">
        <v>0</v>
      </c>
      <c r="AK423" s="31">
        <f t="shared" ref="AK423:AK438" si="58">24*E423</f>
        <v>9.25</v>
      </c>
      <c r="AL423" s="31">
        <f t="shared" ref="AL423:AL438" si="59">24*F423</f>
        <v>12</v>
      </c>
      <c r="AM423" s="31">
        <f>Table3[[#This Row],[end_time_num]]-Table3[[#This Row],[start_time_num]]</f>
        <v>2.75</v>
      </c>
      <c r="AN423" t="s">
        <v>147</v>
      </c>
    </row>
    <row r="424" spans="1:40" x14ac:dyDescent="0.35">
      <c r="A424">
        <v>24</v>
      </c>
      <c r="B424">
        <v>1</v>
      </c>
      <c r="D424" t="s">
        <v>183</v>
      </c>
      <c r="E424" s="2">
        <v>0.38541666666666669</v>
      </c>
      <c r="F424" s="2">
        <v>0.51041666666666663</v>
      </c>
      <c r="G424" s="13">
        <v>0.12499999999999994</v>
      </c>
      <c r="H424" s="2" t="s">
        <v>136</v>
      </c>
      <c r="I424" t="s">
        <v>6</v>
      </c>
      <c r="J424">
        <v>1</v>
      </c>
      <c r="K424" t="s">
        <v>4</v>
      </c>
      <c r="L424" s="14" t="s">
        <v>3</v>
      </c>
      <c r="M424">
        <v>0</v>
      </c>
      <c r="N424">
        <v>0</v>
      </c>
      <c r="O424">
        <v>1</v>
      </c>
      <c r="P424">
        <v>0</v>
      </c>
      <c r="Q424">
        <v>2</v>
      </c>
      <c r="R424">
        <v>1</v>
      </c>
      <c r="S424">
        <v>4</v>
      </c>
      <c r="T424">
        <v>4</v>
      </c>
      <c r="U424">
        <v>8</v>
      </c>
      <c r="V424">
        <v>11</v>
      </c>
      <c r="W424">
        <v>6</v>
      </c>
      <c r="X424">
        <v>8</v>
      </c>
      <c r="Y424">
        <v>9</v>
      </c>
      <c r="Z424">
        <v>3</v>
      </c>
      <c r="AA424">
        <v>2</v>
      </c>
      <c r="AB424">
        <v>1</v>
      </c>
      <c r="AC424" s="18">
        <f>SUMPRODUCT(OG_Data!D$1:S$1, M424:AB424) /SUM(M424:AB424)</f>
        <v>10.466666666666667</v>
      </c>
      <c r="AD424">
        <f t="shared" si="57"/>
        <v>60</v>
      </c>
      <c r="AE424">
        <v>0</v>
      </c>
      <c r="AF424">
        <v>5</v>
      </c>
      <c r="AG424">
        <v>25</v>
      </c>
      <c r="AH424">
        <f>Table3[[#This Row],[Flies_per_Vial]]*Table3[[#This Row],[Vials_Total_UsedInMaze]]</f>
        <v>125</v>
      </c>
      <c r="AI424">
        <f>Table3[[#This Row],[total_Flies]]/Table3[[#This Row],[flies_in]]</f>
        <v>0.48</v>
      </c>
      <c r="AJ424">
        <v>0</v>
      </c>
      <c r="AK424" s="31">
        <f t="shared" si="58"/>
        <v>9.25</v>
      </c>
      <c r="AL424" s="31">
        <f t="shared" si="59"/>
        <v>12.25</v>
      </c>
      <c r="AM424" s="31">
        <f>Table3[[#This Row],[end_time_num]]-Table3[[#This Row],[start_time_num]]</f>
        <v>3</v>
      </c>
      <c r="AN424" t="s">
        <v>147</v>
      </c>
    </row>
    <row r="425" spans="1:40" x14ac:dyDescent="0.35">
      <c r="A425">
        <v>24</v>
      </c>
      <c r="B425">
        <v>1</v>
      </c>
      <c r="D425" t="s">
        <v>183</v>
      </c>
      <c r="E425" s="2">
        <v>0.38541666666666669</v>
      </c>
      <c r="F425" s="2">
        <v>0.51458333333333328</v>
      </c>
      <c r="G425" s="13">
        <v>0.1291666666666666</v>
      </c>
      <c r="H425" s="2" t="s">
        <v>136</v>
      </c>
      <c r="I425" t="s">
        <v>6</v>
      </c>
      <c r="J425">
        <v>1</v>
      </c>
      <c r="K425" t="s">
        <v>2</v>
      </c>
      <c r="L425" s="14" t="s">
        <v>3</v>
      </c>
      <c r="M425">
        <v>17</v>
      </c>
      <c r="N425">
        <v>12</v>
      </c>
      <c r="O425">
        <v>7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3</v>
      </c>
      <c r="V425">
        <v>10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 s="18">
        <f>SUMPRODUCT(OG_Data!D$1:S$1, M425:AB425) /SUM(M425:AB425)</f>
        <v>4.117647058823529</v>
      </c>
      <c r="AD425">
        <f t="shared" si="57"/>
        <v>51</v>
      </c>
      <c r="AE425">
        <v>0</v>
      </c>
      <c r="AF425">
        <v>6</v>
      </c>
      <c r="AG425">
        <v>25</v>
      </c>
      <c r="AH425">
        <f>Table3[[#This Row],[Flies_per_Vial]]*Table3[[#This Row],[Vials_Total_UsedInMaze]]</f>
        <v>150</v>
      </c>
      <c r="AI425">
        <f>Table3[[#This Row],[total_Flies]]/Table3[[#This Row],[flies_in]]</f>
        <v>0.34</v>
      </c>
      <c r="AJ425">
        <v>0</v>
      </c>
      <c r="AK425" s="31">
        <f t="shared" si="58"/>
        <v>9.25</v>
      </c>
      <c r="AL425" s="31">
        <f t="shared" si="59"/>
        <v>12.349999999999998</v>
      </c>
      <c r="AM425" s="31">
        <f>Table3[[#This Row],[end_time_num]]-Table3[[#This Row],[start_time_num]]</f>
        <v>3.0999999999999979</v>
      </c>
      <c r="AN425" t="s">
        <v>147</v>
      </c>
    </row>
    <row r="426" spans="1:40" x14ac:dyDescent="0.35">
      <c r="A426">
        <v>24</v>
      </c>
      <c r="B426">
        <v>1</v>
      </c>
      <c r="D426" t="s">
        <v>183</v>
      </c>
      <c r="E426" s="2">
        <v>0.38541666666666669</v>
      </c>
      <c r="F426" s="2">
        <v>0.52083333333333337</v>
      </c>
      <c r="G426" s="13">
        <v>0.13541666666666669</v>
      </c>
      <c r="H426" s="2" t="s">
        <v>136</v>
      </c>
      <c r="I426" t="s">
        <v>6</v>
      </c>
      <c r="J426">
        <v>1</v>
      </c>
      <c r="K426" t="s">
        <v>1</v>
      </c>
      <c r="L426" s="14" t="s">
        <v>0</v>
      </c>
      <c r="M426">
        <v>11</v>
      </c>
      <c r="N426">
        <v>15</v>
      </c>
      <c r="O426">
        <v>8</v>
      </c>
      <c r="P426">
        <v>6</v>
      </c>
      <c r="Q426">
        <v>4</v>
      </c>
      <c r="R426">
        <v>3</v>
      </c>
      <c r="S426">
        <v>3</v>
      </c>
      <c r="T426">
        <v>3</v>
      </c>
      <c r="U426">
        <v>4</v>
      </c>
      <c r="V426">
        <v>1</v>
      </c>
      <c r="W426">
        <v>3</v>
      </c>
      <c r="X426">
        <v>0</v>
      </c>
      <c r="Y426">
        <v>1</v>
      </c>
      <c r="Z426">
        <v>0</v>
      </c>
      <c r="AA426">
        <v>0</v>
      </c>
      <c r="AB426">
        <v>0</v>
      </c>
      <c r="AC426" s="18">
        <f>SUMPRODUCT(OG_Data!D$1:S$1, M426:AB426) /SUM(M426:AB426)</f>
        <v>4.258064516129032</v>
      </c>
      <c r="AD426">
        <f t="shared" si="57"/>
        <v>62</v>
      </c>
      <c r="AE426">
        <v>0</v>
      </c>
      <c r="AF426">
        <v>6</v>
      </c>
      <c r="AG426">
        <v>25</v>
      </c>
      <c r="AH426">
        <f>Table3[[#This Row],[Flies_per_Vial]]*Table3[[#This Row],[Vials_Total_UsedInMaze]]</f>
        <v>150</v>
      </c>
      <c r="AI426">
        <f>Table3[[#This Row],[total_Flies]]/Table3[[#This Row],[flies_in]]</f>
        <v>0.41333333333333333</v>
      </c>
      <c r="AJ426">
        <v>0</v>
      </c>
      <c r="AK426" s="31">
        <f t="shared" si="58"/>
        <v>9.25</v>
      </c>
      <c r="AL426" s="31">
        <f t="shared" si="59"/>
        <v>12.5</v>
      </c>
      <c r="AM426" s="31">
        <f>Table3[[#This Row],[end_time_num]]-Table3[[#This Row],[start_time_num]]</f>
        <v>3.25</v>
      </c>
      <c r="AN426" t="s">
        <v>147</v>
      </c>
    </row>
    <row r="427" spans="1:40" x14ac:dyDescent="0.35">
      <c r="A427">
        <v>24</v>
      </c>
      <c r="B427">
        <v>1</v>
      </c>
      <c r="D427" t="s">
        <v>183</v>
      </c>
      <c r="E427" s="2">
        <v>0.55555555555555558</v>
      </c>
      <c r="F427" s="2">
        <v>0.69097222222222221</v>
      </c>
      <c r="G427" s="13">
        <v>0.13541666666666663</v>
      </c>
      <c r="H427" s="2" t="s">
        <v>142</v>
      </c>
      <c r="I427" t="s">
        <v>6</v>
      </c>
      <c r="J427">
        <v>2</v>
      </c>
      <c r="K427" t="s">
        <v>5</v>
      </c>
      <c r="L427" s="14" t="s">
        <v>0</v>
      </c>
      <c r="M427">
        <v>10</v>
      </c>
      <c r="N427">
        <v>5</v>
      </c>
      <c r="O427">
        <v>4</v>
      </c>
      <c r="P427">
        <v>7</v>
      </c>
      <c r="Q427">
        <v>4</v>
      </c>
      <c r="R427">
        <v>7</v>
      </c>
      <c r="S427">
        <v>7</v>
      </c>
      <c r="T427">
        <v>6</v>
      </c>
      <c r="U427">
        <v>3</v>
      </c>
      <c r="V427">
        <v>5</v>
      </c>
      <c r="W427">
        <v>3</v>
      </c>
      <c r="X427">
        <v>5</v>
      </c>
      <c r="Y427">
        <v>8</v>
      </c>
      <c r="Z427">
        <v>2</v>
      </c>
      <c r="AA427">
        <v>4</v>
      </c>
      <c r="AB427">
        <v>5</v>
      </c>
      <c r="AC427" s="18">
        <f>SUMPRODUCT(OG_Data!D$1:S$1, M427:AB427) /SUM(M427:AB427)</f>
        <v>7.776470588235294</v>
      </c>
      <c r="AD427">
        <f t="shared" si="57"/>
        <v>85</v>
      </c>
      <c r="AE427">
        <v>0</v>
      </c>
      <c r="AF427">
        <v>4</v>
      </c>
      <c r="AG427">
        <v>25</v>
      </c>
      <c r="AH427">
        <f>Table3[[#This Row],[Flies_per_Vial]]*Table3[[#This Row],[Vials_Total_UsedInMaze]]</f>
        <v>100</v>
      </c>
      <c r="AI427">
        <f>Table3[[#This Row],[total_Flies]]/Table3[[#This Row],[flies_in]]</f>
        <v>0.85</v>
      </c>
      <c r="AJ427">
        <v>0</v>
      </c>
      <c r="AK427" s="31">
        <f t="shared" si="58"/>
        <v>13.333333333333334</v>
      </c>
      <c r="AL427" s="31">
        <f t="shared" si="59"/>
        <v>16.583333333333332</v>
      </c>
      <c r="AM427" s="31">
        <f>Table3[[#This Row],[end_time_num]]-Table3[[#This Row],[start_time_num]]</f>
        <v>3.2499999999999982</v>
      </c>
      <c r="AN427" t="s">
        <v>148</v>
      </c>
    </row>
    <row r="428" spans="1:40" x14ac:dyDescent="0.35">
      <c r="A428">
        <v>24</v>
      </c>
      <c r="B428">
        <v>1</v>
      </c>
      <c r="D428" t="s">
        <v>183</v>
      </c>
      <c r="E428" s="2">
        <v>0.55555555555555558</v>
      </c>
      <c r="F428" s="2">
        <v>0.69722222222222219</v>
      </c>
      <c r="G428" s="13">
        <v>0.14166666666666661</v>
      </c>
      <c r="H428" s="2" t="s">
        <v>142</v>
      </c>
      <c r="I428" t="s">
        <v>6</v>
      </c>
      <c r="J428">
        <v>2</v>
      </c>
      <c r="K428" t="s">
        <v>4</v>
      </c>
      <c r="L428" s="14" t="s">
        <v>3</v>
      </c>
      <c r="M428">
        <v>2</v>
      </c>
      <c r="N428">
        <v>5</v>
      </c>
      <c r="O428">
        <v>4</v>
      </c>
      <c r="P428">
        <v>2</v>
      </c>
      <c r="Q428">
        <v>12</v>
      </c>
      <c r="R428">
        <v>4</v>
      </c>
      <c r="S428">
        <v>10</v>
      </c>
      <c r="T428">
        <v>7</v>
      </c>
      <c r="U428">
        <v>8</v>
      </c>
      <c r="V428">
        <v>6</v>
      </c>
      <c r="W428">
        <v>3</v>
      </c>
      <c r="X428">
        <v>3</v>
      </c>
      <c r="Y428">
        <v>4</v>
      </c>
      <c r="Z428">
        <v>0</v>
      </c>
      <c r="AA428">
        <v>0</v>
      </c>
      <c r="AB428">
        <v>0</v>
      </c>
      <c r="AC428" s="18">
        <f>SUMPRODUCT(OG_Data!D$1:S$1, M428:AB428) /SUM(M428:AB428)</f>
        <v>7.0714285714285712</v>
      </c>
      <c r="AD428">
        <f t="shared" si="57"/>
        <v>70</v>
      </c>
      <c r="AE428">
        <v>0</v>
      </c>
      <c r="AF428">
        <v>4</v>
      </c>
      <c r="AG428">
        <v>25</v>
      </c>
      <c r="AH428">
        <f>Table3[[#This Row],[Flies_per_Vial]]*Table3[[#This Row],[Vials_Total_UsedInMaze]]</f>
        <v>100</v>
      </c>
      <c r="AI428">
        <f>Table3[[#This Row],[total_Flies]]/Table3[[#This Row],[flies_in]]</f>
        <v>0.7</v>
      </c>
      <c r="AJ428">
        <v>0</v>
      </c>
      <c r="AK428" s="31">
        <f t="shared" si="58"/>
        <v>13.333333333333334</v>
      </c>
      <c r="AL428" s="31">
        <f t="shared" si="59"/>
        <v>16.733333333333334</v>
      </c>
      <c r="AM428" s="31">
        <f>Table3[[#This Row],[end_time_num]]-Table3[[#This Row],[start_time_num]]</f>
        <v>3.4000000000000004</v>
      </c>
      <c r="AN428" t="s">
        <v>148</v>
      </c>
    </row>
    <row r="429" spans="1:40" x14ac:dyDescent="0.35">
      <c r="A429">
        <v>24</v>
      </c>
      <c r="B429">
        <v>1</v>
      </c>
      <c r="D429" t="s">
        <v>183</v>
      </c>
      <c r="E429" s="2">
        <v>0.55555555555555558</v>
      </c>
      <c r="F429" s="2">
        <v>0.70138888888888884</v>
      </c>
      <c r="G429" s="13">
        <v>0.14583333333333326</v>
      </c>
      <c r="H429" s="2" t="s">
        <v>142</v>
      </c>
      <c r="I429" t="s">
        <v>6</v>
      </c>
      <c r="J429">
        <v>2</v>
      </c>
      <c r="K429" t="s">
        <v>2</v>
      </c>
      <c r="L429" s="14" t="s">
        <v>3</v>
      </c>
      <c r="M429">
        <v>16</v>
      </c>
      <c r="N429">
        <v>11</v>
      </c>
      <c r="O429">
        <v>5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 s="18">
        <f>SUMPRODUCT(OG_Data!D$1:S$1, M429:AB429) /SUM(M429:AB429)</f>
        <v>2.7027027027027026</v>
      </c>
      <c r="AD429">
        <f t="shared" si="57"/>
        <v>37</v>
      </c>
      <c r="AE429">
        <v>0</v>
      </c>
      <c r="AF429">
        <v>4</v>
      </c>
      <c r="AG429">
        <v>25</v>
      </c>
      <c r="AH429">
        <f>Table3[[#This Row],[Flies_per_Vial]]*Table3[[#This Row],[Vials_Total_UsedInMaze]]</f>
        <v>100</v>
      </c>
      <c r="AI429">
        <f>Table3[[#This Row],[total_Flies]]/Table3[[#This Row],[flies_in]]</f>
        <v>0.37</v>
      </c>
      <c r="AJ429">
        <v>0</v>
      </c>
      <c r="AK429" s="31">
        <f t="shared" si="58"/>
        <v>13.333333333333334</v>
      </c>
      <c r="AL429" s="31">
        <f t="shared" si="59"/>
        <v>16.833333333333332</v>
      </c>
      <c r="AM429" s="31">
        <f>Table3[[#This Row],[end_time_num]]-Table3[[#This Row],[start_time_num]]</f>
        <v>3.4999999999999982</v>
      </c>
      <c r="AN429" t="s">
        <v>148</v>
      </c>
    </row>
    <row r="430" spans="1:40" x14ac:dyDescent="0.35">
      <c r="A430">
        <v>24</v>
      </c>
      <c r="B430">
        <v>1</v>
      </c>
      <c r="D430" t="s">
        <v>183</v>
      </c>
      <c r="E430" s="2">
        <v>0.55555555555555558</v>
      </c>
      <c r="F430" s="2">
        <v>0.70694444444444449</v>
      </c>
      <c r="G430" s="13">
        <v>0.15138888888888891</v>
      </c>
      <c r="H430" s="2" t="s">
        <v>142</v>
      </c>
      <c r="I430" t="s">
        <v>6</v>
      </c>
      <c r="J430">
        <v>2</v>
      </c>
      <c r="K430" t="s">
        <v>1</v>
      </c>
      <c r="L430" s="14" t="s">
        <v>0</v>
      </c>
      <c r="M430">
        <v>39</v>
      </c>
      <c r="N430">
        <v>20</v>
      </c>
      <c r="O430">
        <v>17</v>
      </c>
      <c r="P430">
        <v>12</v>
      </c>
      <c r="Q430">
        <v>10</v>
      </c>
      <c r="R430">
        <v>4</v>
      </c>
      <c r="S430">
        <v>1</v>
      </c>
      <c r="T430">
        <v>1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s="18">
        <f>SUMPRODUCT(OG_Data!D$1:S$1, M430:AB430) /SUM(M430:AB430)</f>
        <v>2.6886792452830188</v>
      </c>
      <c r="AD430">
        <f t="shared" si="57"/>
        <v>106</v>
      </c>
      <c r="AE430">
        <v>0</v>
      </c>
      <c r="AF430">
        <v>4</v>
      </c>
      <c r="AG430">
        <v>25</v>
      </c>
      <c r="AH430">
        <f>Table3[[#This Row],[Flies_per_Vial]]*Table3[[#This Row],[Vials_Total_UsedInMaze]]</f>
        <v>100</v>
      </c>
      <c r="AI430">
        <f>Table3[[#This Row],[total_Flies]]/Table3[[#This Row],[flies_in]]</f>
        <v>1.06</v>
      </c>
      <c r="AJ430">
        <v>0</v>
      </c>
      <c r="AK430" s="31">
        <f t="shared" si="58"/>
        <v>13.333333333333334</v>
      </c>
      <c r="AL430" s="31">
        <f t="shared" si="59"/>
        <v>16.966666666666669</v>
      </c>
      <c r="AM430" s="31">
        <f>Table3[[#This Row],[end_time_num]]-Table3[[#This Row],[start_time_num]]</f>
        <v>3.6333333333333346</v>
      </c>
      <c r="AN430" t="s">
        <v>148</v>
      </c>
    </row>
    <row r="431" spans="1:40" x14ac:dyDescent="0.35">
      <c r="A431">
        <v>24</v>
      </c>
      <c r="B431">
        <v>2</v>
      </c>
      <c r="D431" t="s">
        <v>184</v>
      </c>
      <c r="E431" s="2">
        <v>0.41319444444444442</v>
      </c>
      <c r="F431" s="2">
        <v>0.51736111111111116</v>
      </c>
      <c r="G431" s="13">
        <v>0.10416666666666674</v>
      </c>
      <c r="H431" s="2" t="s">
        <v>136</v>
      </c>
      <c r="I431" t="s">
        <v>6</v>
      </c>
      <c r="J431">
        <v>3</v>
      </c>
      <c r="K431" t="s">
        <v>5</v>
      </c>
      <c r="L431" s="14" t="s">
        <v>0</v>
      </c>
      <c r="M431">
        <v>11</v>
      </c>
      <c r="N431">
        <v>6</v>
      </c>
      <c r="O431">
        <v>5</v>
      </c>
      <c r="P431">
        <v>7</v>
      </c>
      <c r="Q431">
        <v>20</v>
      </c>
      <c r="R431">
        <v>11</v>
      </c>
      <c r="S431">
        <v>2</v>
      </c>
      <c r="T431">
        <v>6</v>
      </c>
      <c r="U431">
        <v>4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 s="18">
        <f>SUMPRODUCT(OG_Data!D$1:S$1, M431:AB431) /SUM(M431:AB431)</f>
        <v>4.6849315068493151</v>
      </c>
      <c r="AD431">
        <f t="shared" si="57"/>
        <v>73</v>
      </c>
      <c r="AE431">
        <v>0</v>
      </c>
      <c r="AF431">
        <v>5</v>
      </c>
      <c r="AG431">
        <v>25</v>
      </c>
      <c r="AH431">
        <f>Table3[[#This Row],[Flies_per_Vial]]*Table3[[#This Row],[Vials_Total_UsedInMaze]]</f>
        <v>125</v>
      </c>
      <c r="AI431">
        <f>Table3[[#This Row],[total_Flies]]/Table3[[#This Row],[flies_in]]</f>
        <v>0.58399999999999996</v>
      </c>
      <c r="AJ431">
        <v>0</v>
      </c>
      <c r="AK431" s="31">
        <f t="shared" si="58"/>
        <v>9.9166666666666661</v>
      </c>
      <c r="AL431" s="31">
        <f t="shared" si="59"/>
        <v>12.416666666666668</v>
      </c>
      <c r="AM431" s="31">
        <f>Table3[[#This Row],[end_time_num]]-Table3[[#This Row],[start_time_num]]</f>
        <v>2.5000000000000018</v>
      </c>
      <c r="AN431" t="s">
        <v>147</v>
      </c>
    </row>
    <row r="432" spans="1:40" x14ac:dyDescent="0.35">
      <c r="A432">
        <v>24</v>
      </c>
      <c r="B432">
        <v>2</v>
      </c>
      <c r="D432" t="s">
        <v>184</v>
      </c>
      <c r="E432" s="2">
        <v>0.41319444444444442</v>
      </c>
      <c r="F432" s="2">
        <v>0.53472222222222221</v>
      </c>
      <c r="G432" s="13">
        <v>0.12152777777777779</v>
      </c>
      <c r="H432" s="2" t="s">
        <v>136</v>
      </c>
      <c r="I432" t="s">
        <v>6</v>
      </c>
      <c r="J432">
        <v>3</v>
      </c>
      <c r="K432" t="s">
        <v>4</v>
      </c>
      <c r="L432" s="14" t="s">
        <v>3</v>
      </c>
      <c r="M432">
        <v>7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11</v>
      </c>
      <c r="T432">
        <v>16</v>
      </c>
      <c r="U432">
        <v>5</v>
      </c>
      <c r="V432">
        <v>1</v>
      </c>
      <c r="W432">
        <v>10</v>
      </c>
      <c r="X432">
        <v>3</v>
      </c>
      <c r="Y432">
        <v>6</v>
      </c>
      <c r="Z432">
        <v>4</v>
      </c>
      <c r="AA432">
        <v>0</v>
      </c>
      <c r="AB432">
        <v>0</v>
      </c>
      <c r="AC432" s="18">
        <f>SUMPRODUCT(OG_Data!D$1:S$1, M432:AB432) /SUM(M432:AB432)</f>
        <v>8.4696969696969688</v>
      </c>
      <c r="AD432">
        <f t="shared" si="57"/>
        <v>66</v>
      </c>
      <c r="AE432">
        <v>0</v>
      </c>
      <c r="AF432">
        <v>6</v>
      </c>
      <c r="AG432">
        <v>25</v>
      </c>
      <c r="AH432">
        <f>Table3[[#This Row],[Flies_per_Vial]]*Table3[[#This Row],[Vials_Total_UsedInMaze]]</f>
        <v>150</v>
      </c>
      <c r="AI432">
        <f>Table3[[#This Row],[total_Flies]]/Table3[[#This Row],[flies_in]]</f>
        <v>0.44</v>
      </c>
      <c r="AJ432">
        <v>0</v>
      </c>
      <c r="AK432" s="31">
        <f t="shared" si="58"/>
        <v>9.9166666666666661</v>
      </c>
      <c r="AL432" s="31">
        <f t="shared" si="59"/>
        <v>12.833333333333332</v>
      </c>
      <c r="AM432" s="31">
        <f>Table3[[#This Row],[end_time_num]]-Table3[[#This Row],[start_time_num]]</f>
        <v>2.9166666666666661</v>
      </c>
      <c r="AN432" t="s">
        <v>147</v>
      </c>
    </row>
    <row r="433" spans="1:40" x14ac:dyDescent="0.35">
      <c r="A433">
        <v>24</v>
      </c>
      <c r="B433">
        <v>2</v>
      </c>
      <c r="D433" t="s">
        <v>184</v>
      </c>
      <c r="E433" s="2">
        <v>0.41319444444444442</v>
      </c>
      <c r="F433" s="2">
        <v>0.54305555555555551</v>
      </c>
      <c r="G433" s="13">
        <v>0.12986111111111109</v>
      </c>
      <c r="H433" s="2" t="s">
        <v>136</v>
      </c>
      <c r="I433" t="s">
        <v>6</v>
      </c>
      <c r="J433">
        <v>3</v>
      </c>
      <c r="K433" t="s">
        <v>2</v>
      </c>
      <c r="L433" s="14" t="s">
        <v>3</v>
      </c>
      <c r="M433">
        <v>15</v>
      </c>
      <c r="N433">
        <v>25</v>
      </c>
      <c r="O433">
        <v>10</v>
      </c>
      <c r="P433">
        <v>2</v>
      </c>
      <c r="Q433">
        <v>1</v>
      </c>
      <c r="R433">
        <v>11</v>
      </c>
      <c r="S433">
        <v>5</v>
      </c>
      <c r="T433">
        <v>3</v>
      </c>
      <c r="U433">
        <v>8</v>
      </c>
      <c r="V433">
        <v>3</v>
      </c>
      <c r="W433">
        <v>4</v>
      </c>
      <c r="X433">
        <v>1</v>
      </c>
      <c r="Y433">
        <v>0</v>
      </c>
      <c r="Z433">
        <v>0</v>
      </c>
      <c r="AA433">
        <v>0</v>
      </c>
      <c r="AB433">
        <v>0</v>
      </c>
      <c r="AC433" s="18">
        <f>SUMPRODUCT(OG_Data!D$1:S$1, M433:AB433) /SUM(M433:AB433)</f>
        <v>4.4431818181818183</v>
      </c>
      <c r="AD433">
        <f t="shared" si="57"/>
        <v>88</v>
      </c>
      <c r="AE433">
        <v>0</v>
      </c>
      <c r="AF433">
        <v>6</v>
      </c>
      <c r="AG433">
        <v>25</v>
      </c>
      <c r="AH433">
        <f>Table3[[#This Row],[Flies_per_Vial]]*Table3[[#This Row],[Vials_Total_UsedInMaze]]</f>
        <v>150</v>
      </c>
      <c r="AI433">
        <f>Table3[[#This Row],[total_Flies]]/Table3[[#This Row],[flies_in]]</f>
        <v>0.58666666666666667</v>
      </c>
      <c r="AJ433">
        <v>0</v>
      </c>
      <c r="AK433" s="31">
        <f t="shared" si="58"/>
        <v>9.9166666666666661</v>
      </c>
      <c r="AL433" s="31">
        <f t="shared" si="59"/>
        <v>13.033333333333331</v>
      </c>
      <c r="AM433" s="31">
        <f>Table3[[#This Row],[end_time_num]]-Table3[[#This Row],[start_time_num]]</f>
        <v>3.1166666666666654</v>
      </c>
      <c r="AN433" t="s">
        <v>147</v>
      </c>
    </row>
    <row r="434" spans="1:40" x14ac:dyDescent="0.35">
      <c r="A434">
        <v>24</v>
      </c>
      <c r="B434">
        <v>2</v>
      </c>
      <c r="D434" t="s">
        <v>184</v>
      </c>
      <c r="E434" s="2">
        <v>0.41319444444444442</v>
      </c>
      <c r="F434" s="2">
        <v>0.54861111111111116</v>
      </c>
      <c r="G434" s="13">
        <v>0.13541666666666674</v>
      </c>
      <c r="H434" s="2" t="s">
        <v>136</v>
      </c>
      <c r="I434" t="s">
        <v>6</v>
      </c>
      <c r="J434">
        <v>3</v>
      </c>
      <c r="K434" t="s">
        <v>1</v>
      </c>
      <c r="L434" s="14" t="s">
        <v>0</v>
      </c>
      <c r="M434">
        <v>11</v>
      </c>
      <c r="N434">
        <v>20</v>
      </c>
      <c r="O434">
        <v>13</v>
      </c>
      <c r="P434">
        <v>11</v>
      </c>
      <c r="Q434">
        <v>12</v>
      </c>
      <c r="R434">
        <v>2</v>
      </c>
      <c r="S434">
        <v>3</v>
      </c>
      <c r="T434">
        <v>4</v>
      </c>
      <c r="U434">
        <v>2</v>
      </c>
      <c r="V434">
        <v>1</v>
      </c>
      <c r="W434">
        <v>0</v>
      </c>
      <c r="X434">
        <v>0</v>
      </c>
      <c r="Y434">
        <v>1</v>
      </c>
      <c r="Z434">
        <v>1</v>
      </c>
      <c r="AA434">
        <v>0</v>
      </c>
      <c r="AB434">
        <v>0</v>
      </c>
      <c r="AC434" s="18">
        <f>SUMPRODUCT(OG_Data!D$1:S$1, M434:AB434) /SUM(M434:AB434)</f>
        <v>3.8765432098765431</v>
      </c>
      <c r="AD434">
        <f t="shared" si="57"/>
        <v>81</v>
      </c>
      <c r="AE434">
        <v>0</v>
      </c>
      <c r="AF434">
        <v>5</v>
      </c>
      <c r="AG434">
        <v>25</v>
      </c>
      <c r="AH434">
        <f>Table3[[#This Row],[Flies_per_Vial]]*Table3[[#This Row],[Vials_Total_UsedInMaze]]</f>
        <v>125</v>
      </c>
      <c r="AI434">
        <f>Table3[[#This Row],[total_Flies]]/Table3[[#This Row],[flies_in]]</f>
        <v>0.64800000000000002</v>
      </c>
      <c r="AJ434">
        <v>0</v>
      </c>
      <c r="AK434" s="31">
        <f t="shared" si="58"/>
        <v>9.9166666666666661</v>
      </c>
      <c r="AL434" s="31">
        <f t="shared" si="59"/>
        <v>13.166666666666668</v>
      </c>
      <c r="AM434" s="31">
        <f>Table3[[#This Row],[end_time_num]]-Table3[[#This Row],[start_time_num]]</f>
        <v>3.2500000000000018</v>
      </c>
      <c r="AN434" t="s">
        <v>147</v>
      </c>
    </row>
    <row r="435" spans="1:40" x14ac:dyDescent="0.35">
      <c r="A435">
        <v>24</v>
      </c>
      <c r="B435">
        <v>2</v>
      </c>
      <c r="D435" t="s">
        <v>184</v>
      </c>
      <c r="E435" s="2">
        <v>0.57638888888888884</v>
      </c>
      <c r="F435" s="2">
        <v>0.66666666666666663</v>
      </c>
      <c r="G435" s="13">
        <v>9.027777777777779E-2</v>
      </c>
      <c r="H435" s="2" t="s">
        <v>142</v>
      </c>
      <c r="I435" t="s">
        <v>6</v>
      </c>
      <c r="J435">
        <v>4</v>
      </c>
      <c r="K435" t="s">
        <v>5</v>
      </c>
      <c r="L435" s="14" t="s">
        <v>0</v>
      </c>
      <c r="M435">
        <v>12</v>
      </c>
      <c r="N435">
        <v>10</v>
      </c>
      <c r="O435">
        <v>10</v>
      </c>
      <c r="P435">
        <v>12</v>
      </c>
      <c r="Q435">
        <v>8</v>
      </c>
      <c r="R435">
        <v>3</v>
      </c>
      <c r="S435">
        <v>5</v>
      </c>
      <c r="T435">
        <v>2</v>
      </c>
      <c r="U435">
        <v>4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2</v>
      </c>
      <c r="AB435">
        <v>0</v>
      </c>
      <c r="AC435" s="18">
        <f>SUMPRODUCT(OG_Data!D$1:S$1, M435:AB435) /SUM(M435:AB435)</f>
        <v>4.3857142857142861</v>
      </c>
      <c r="AD435">
        <f t="shared" si="57"/>
        <v>70</v>
      </c>
      <c r="AE435">
        <v>0</v>
      </c>
      <c r="AF435">
        <v>6</v>
      </c>
      <c r="AG435">
        <v>25</v>
      </c>
      <c r="AH435">
        <f>Table3[[#This Row],[Flies_per_Vial]]*Table3[[#This Row],[Vials_Total_UsedInMaze]]</f>
        <v>150</v>
      </c>
      <c r="AI435">
        <f>Table3[[#This Row],[total_Flies]]/Table3[[#This Row],[flies_in]]</f>
        <v>0.46666666666666667</v>
      </c>
      <c r="AJ435">
        <v>0</v>
      </c>
      <c r="AK435" s="31">
        <f t="shared" si="58"/>
        <v>13.833333333333332</v>
      </c>
      <c r="AL435" s="31">
        <f t="shared" si="59"/>
        <v>16</v>
      </c>
      <c r="AM435" s="31">
        <f>Table3[[#This Row],[end_time_num]]-Table3[[#This Row],[start_time_num]]</f>
        <v>2.1666666666666679</v>
      </c>
      <c r="AN435" t="s">
        <v>147</v>
      </c>
    </row>
    <row r="436" spans="1:40" x14ac:dyDescent="0.35">
      <c r="A436">
        <v>24</v>
      </c>
      <c r="B436">
        <v>2</v>
      </c>
      <c r="D436" t="s">
        <v>184</v>
      </c>
      <c r="E436" s="2">
        <v>0.57638888888888884</v>
      </c>
      <c r="F436" s="2">
        <v>0.67291666666666672</v>
      </c>
      <c r="G436" s="13">
        <v>9.6527777777777879E-2</v>
      </c>
      <c r="H436" s="2" t="s">
        <v>142</v>
      </c>
      <c r="I436" t="s">
        <v>6</v>
      </c>
      <c r="J436">
        <v>4</v>
      </c>
      <c r="K436" t="s">
        <v>4</v>
      </c>
      <c r="L436" s="14" t="s">
        <v>3</v>
      </c>
      <c r="M436">
        <v>4</v>
      </c>
      <c r="N436">
        <v>2</v>
      </c>
      <c r="O436">
        <v>1</v>
      </c>
      <c r="P436">
        <v>4</v>
      </c>
      <c r="Q436">
        <v>2</v>
      </c>
      <c r="R436">
        <v>5</v>
      </c>
      <c r="S436">
        <v>6</v>
      </c>
      <c r="T436">
        <v>7</v>
      </c>
      <c r="U436">
        <v>0</v>
      </c>
      <c r="V436">
        <v>7</v>
      </c>
      <c r="W436">
        <v>3</v>
      </c>
      <c r="X436">
        <v>0</v>
      </c>
      <c r="Y436">
        <v>2</v>
      </c>
      <c r="Z436">
        <v>0</v>
      </c>
      <c r="AA436">
        <v>0</v>
      </c>
      <c r="AB436">
        <v>0</v>
      </c>
      <c r="AC436" s="18">
        <f>SUMPRODUCT(OG_Data!D$1:S$1, M436:AB436) /SUM(M436:AB436)</f>
        <v>6.8372093023255811</v>
      </c>
      <c r="AD436">
        <f t="shared" si="57"/>
        <v>43</v>
      </c>
      <c r="AE436">
        <v>0</v>
      </c>
      <c r="AF436">
        <v>6</v>
      </c>
      <c r="AG436">
        <v>25</v>
      </c>
      <c r="AH436">
        <f>Table3[[#This Row],[Flies_per_Vial]]*Table3[[#This Row],[Vials_Total_UsedInMaze]]</f>
        <v>150</v>
      </c>
      <c r="AI436">
        <f>Table3[[#This Row],[total_Flies]]/Table3[[#This Row],[flies_in]]</f>
        <v>0.28666666666666668</v>
      </c>
      <c r="AJ436">
        <v>0</v>
      </c>
      <c r="AK436" s="31">
        <f t="shared" si="58"/>
        <v>13.833333333333332</v>
      </c>
      <c r="AL436" s="31">
        <f t="shared" si="59"/>
        <v>16.150000000000002</v>
      </c>
      <c r="AM436" s="31">
        <f>Table3[[#This Row],[end_time_num]]-Table3[[#This Row],[start_time_num]]</f>
        <v>2.31666666666667</v>
      </c>
      <c r="AN436" t="s">
        <v>147</v>
      </c>
    </row>
    <row r="437" spans="1:40" x14ac:dyDescent="0.35">
      <c r="A437">
        <v>24</v>
      </c>
      <c r="B437">
        <v>2</v>
      </c>
      <c r="D437" t="s">
        <v>184</v>
      </c>
      <c r="E437" s="2">
        <v>0.57638888888888884</v>
      </c>
      <c r="F437" s="2">
        <v>0.68194444444444446</v>
      </c>
      <c r="G437" s="13">
        <v>0.10555555555555562</v>
      </c>
      <c r="H437" s="2" t="s">
        <v>142</v>
      </c>
      <c r="I437" t="s">
        <v>6</v>
      </c>
      <c r="J437">
        <v>4</v>
      </c>
      <c r="K437" t="s">
        <v>2</v>
      </c>
      <c r="L437" s="14" t="s">
        <v>3</v>
      </c>
      <c r="M437">
        <v>20</v>
      </c>
      <c r="N437">
        <v>13</v>
      </c>
      <c r="O437">
        <v>12</v>
      </c>
      <c r="P437">
        <v>11</v>
      </c>
      <c r="Q437">
        <v>3</v>
      </c>
      <c r="R437">
        <v>10</v>
      </c>
      <c r="S437">
        <v>1</v>
      </c>
      <c r="T437">
        <v>4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1</v>
      </c>
      <c r="AC437" s="18">
        <f>SUMPRODUCT(OG_Data!D$1:S$1, M437:AB437) /SUM(M437:AB437)</f>
        <v>3.7051282051282053</v>
      </c>
      <c r="AD437">
        <f t="shared" si="57"/>
        <v>78</v>
      </c>
      <c r="AE437">
        <v>0</v>
      </c>
      <c r="AF437">
        <v>6</v>
      </c>
      <c r="AG437">
        <v>25</v>
      </c>
      <c r="AH437">
        <f>Table3[[#This Row],[Flies_per_Vial]]*Table3[[#This Row],[Vials_Total_UsedInMaze]]</f>
        <v>150</v>
      </c>
      <c r="AI437">
        <f>Table3[[#This Row],[total_Flies]]/Table3[[#This Row],[flies_in]]</f>
        <v>0.52</v>
      </c>
      <c r="AJ437">
        <v>0</v>
      </c>
      <c r="AK437" s="31">
        <f t="shared" si="58"/>
        <v>13.833333333333332</v>
      </c>
      <c r="AL437" s="31">
        <f t="shared" si="59"/>
        <v>16.366666666666667</v>
      </c>
      <c r="AM437" s="31">
        <f>Table3[[#This Row],[end_time_num]]-Table3[[#This Row],[start_time_num]]</f>
        <v>2.533333333333335</v>
      </c>
      <c r="AN437" t="s">
        <v>147</v>
      </c>
    </row>
    <row r="438" spans="1:40" x14ac:dyDescent="0.35">
      <c r="A438">
        <v>24</v>
      </c>
      <c r="B438">
        <v>2</v>
      </c>
      <c r="D438" t="s">
        <v>184</v>
      </c>
      <c r="E438" s="2">
        <v>0.57638888888888884</v>
      </c>
      <c r="F438" s="2">
        <v>0.68541666666666667</v>
      </c>
      <c r="G438" s="13">
        <v>0.10902777777777783</v>
      </c>
      <c r="H438" s="2" t="s">
        <v>142</v>
      </c>
      <c r="I438" t="s">
        <v>6</v>
      </c>
      <c r="J438">
        <v>4</v>
      </c>
      <c r="K438" t="s">
        <v>1</v>
      </c>
      <c r="L438" s="14" t="s">
        <v>0</v>
      </c>
      <c r="M438">
        <v>12</v>
      </c>
      <c r="N438">
        <v>18</v>
      </c>
      <c r="O438">
        <v>6</v>
      </c>
      <c r="P438">
        <v>9</v>
      </c>
      <c r="Q438">
        <v>7</v>
      </c>
      <c r="R438">
        <v>3</v>
      </c>
      <c r="S438">
        <v>3</v>
      </c>
      <c r="T438">
        <v>2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s="18">
        <f>SUMPRODUCT(OG_Data!D$1:S$1, M438:AB438) /SUM(M438:AB438)</f>
        <v>3.5625</v>
      </c>
      <c r="AD438">
        <f t="shared" si="57"/>
        <v>64</v>
      </c>
      <c r="AE438">
        <v>0</v>
      </c>
      <c r="AF438">
        <v>6</v>
      </c>
      <c r="AG438">
        <v>25</v>
      </c>
      <c r="AH438">
        <f>Table3[[#This Row],[Flies_per_Vial]]*Table3[[#This Row],[Vials_Total_UsedInMaze]]</f>
        <v>150</v>
      </c>
      <c r="AI438">
        <f>Table3[[#This Row],[total_Flies]]/Table3[[#This Row],[flies_in]]</f>
        <v>0.42666666666666669</v>
      </c>
      <c r="AJ438">
        <v>0</v>
      </c>
      <c r="AK438" s="31">
        <f t="shared" si="58"/>
        <v>13.833333333333332</v>
      </c>
      <c r="AL438" s="31">
        <f t="shared" si="59"/>
        <v>16.45</v>
      </c>
      <c r="AM438" s="31">
        <f>Table3[[#This Row],[end_time_num]]-Table3[[#This Row],[start_time_num]]</f>
        <v>2.6166666666666671</v>
      </c>
      <c r="AN438" t="s">
        <v>147</v>
      </c>
    </row>
    <row r="439" spans="1:40" x14ac:dyDescent="0.35">
      <c r="G439" s="13"/>
      <c r="H439" s="2"/>
      <c r="AI439"/>
      <c r="AJ439"/>
      <c r="AL439" s="31"/>
      <c r="AM439" s="31"/>
    </row>
    <row r="440" spans="1:40" x14ac:dyDescent="0.35">
      <c r="G440" s="13"/>
      <c r="H440" s="2"/>
      <c r="AI440"/>
      <c r="AJ440"/>
      <c r="AL440" s="31"/>
      <c r="AM440" s="31"/>
    </row>
    <row r="441" spans="1:40" x14ac:dyDescent="0.35">
      <c r="G441" s="13"/>
      <c r="H441" s="2"/>
      <c r="AI441"/>
      <c r="AJ441"/>
      <c r="AL441" s="31"/>
      <c r="AM441" s="31"/>
    </row>
    <row r="442" spans="1:40" x14ac:dyDescent="0.35">
      <c r="G442" s="13"/>
      <c r="H442" s="2"/>
      <c r="AI442"/>
      <c r="AJ442"/>
      <c r="AL442" s="31"/>
      <c r="AM442" s="31"/>
    </row>
    <row r="443" spans="1:40" x14ac:dyDescent="0.35">
      <c r="G443" s="13"/>
      <c r="H443" s="2"/>
      <c r="AI443"/>
      <c r="AJ443"/>
      <c r="AL443" s="31"/>
      <c r="AM443" s="31"/>
    </row>
    <row r="444" spans="1:40" x14ac:dyDescent="0.35">
      <c r="G444" s="13"/>
      <c r="H444" s="2"/>
      <c r="AI444"/>
      <c r="AJ444"/>
      <c r="AL444" s="31"/>
      <c r="AM444" s="31"/>
    </row>
    <row r="445" spans="1:40" x14ac:dyDescent="0.35">
      <c r="G445" s="13"/>
      <c r="H445" s="2"/>
      <c r="AI445"/>
      <c r="AJ445"/>
      <c r="AL445" s="31"/>
      <c r="AM445" s="31"/>
    </row>
    <row r="446" spans="1:40" x14ac:dyDescent="0.35">
      <c r="G446" s="13"/>
      <c r="H446" s="2"/>
      <c r="AI446"/>
      <c r="AJ446"/>
      <c r="AL446" s="31"/>
      <c r="AM446" s="31"/>
    </row>
    <row r="447" spans="1:40" x14ac:dyDescent="0.35">
      <c r="G447" s="13"/>
      <c r="H447" s="2"/>
      <c r="AI447"/>
      <c r="AJ447"/>
      <c r="AL447" s="31"/>
      <c r="AM447" s="31"/>
    </row>
    <row r="448" spans="1:40" x14ac:dyDescent="0.35">
      <c r="G448" s="13"/>
      <c r="H448" s="2"/>
      <c r="AI448"/>
      <c r="AJ448"/>
      <c r="AL448" s="31"/>
      <c r="AM448" s="31"/>
    </row>
    <row r="449" spans="7:39" x14ac:dyDescent="0.35">
      <c r="G449" s="13"/>
      <c r="H449" s="2"/>
      <c r="AI449"/>
      <c r="AJ449"/>
      <c r="AL449" s="31"/>
      <c r="AM449" s="31"/>
    </row>
    <row r="450" spans="7:39" x14ac:dyDescent="0.35">
      <c r="G450" s="13"/>
      <c r="H450" s="2"/>
      <c r="AI450"/>
      <c r="AJ450"/>
      <c r="AL450" s="31"/>
      <c r="AM450" s="31"/>
    </row>
    <row r="451" spans="7:39" x14ac:dyDescent="0.35">
      <c r="G451" s="13"/>
      <c r="H451" s="2"/>
      <c r="AI451"/>
      <c r="AJ451"/>
      <c r="AL451" s="31"/>
      <c r="AM451" s="31"/>
    </row>
    <row r="452" spans="7:39" x14ac:dyDescent="0.35">
      <c r="G452" s="13"/>
      <c r="H452" s="2"/>
      <c r="AI452"/>
      <c r="AL452" s="31"/>
      <c r="AM452" s="31"/>
    </row>
    <row r="453" spans="7:39" x14ac:dyDescent="0.35">
      <c r="G453" s="13"/>
      <c r="H453" s="2"/>
      <c r="AI453"/>
      <c r="AL453" s="31"/>
      <c r="AM453" s="31"/>
    </row>
    <row r="454" spans="7:39" x14ac:dyDescent="0.35">
      <c r="G454" s="13"/>
      <c r="H454" s="2"/>
      <c r="AI454"/>
      <c r="AL454" s="31"/>
      <c r="AM454" s="31"/>
    </row>
    <row r="455" spans="7:39" x14ac:dyDescent="0.35">
      <c r="G455" s="13"/>
      <c r="H455" s="2"/>
      <c r="AI455"/>
      <c r="AL455" s="31"/>
      <c r="AM455" s="31"/>
    </row>
    <row r="456" spans="7:39" x14ac:dyDescent="0.35">
      <c r="G456" s="13"/>
      <c r="H456" s="2"/>
      <c r="AI456"/>
      <c r="AL456" s="31"/>
      <c r="AM456" s="31"/>
    </row>
    <row r="457" spans="7:39" x14ac:dyDescent="0.35">
      <c r="G457" s="13"/>
      <c r="H457" s="2"/>
      <c r="AI457"/>
      <c r="AL457" s="31"/>
      <c r="AM457" s="31"/>
    </row>
    <row r="458" spans="7:39" x14ac:dyDescent="0.35">
      <c r="G458" s="13"/>
      <c r="H458" s="2"/>
      <c r="AI458"/>
      <c r="AL458" s="31"/>
      <c r="AM458" s="31"/>
    </row>
    <row r="459" spans="7:39" x14ac:dyDescent="0.35">
      <c r="G459" s="13"/>
      <c r="H459" s="2"/>
      <c r="AI459"/>
      <c r="AL459" s="31"/>
      <c r="AM459" s="31"/>
    </row>
    <row r="460" spans="7:39" x14ac:dyDescent="0.35">
      <c r="G460" s="13"/>
      <c r="H460" s="2"/>
      <c r="AI460"/>
      <c r="AL460" s="31"/>
      <c r="AM460" s="31"/>
    </row>
    <row r="461" spans="7:39" x14ac:dyDescent="0.35">
      <c r="G461" s="13"/>
      <c r="H461" s="2"/>
      <c r="AI461"/>
      <c r="AL461" s="31"/>
      <c r="AM461" s="31"/>
    </row>
    <row r="462" spans="7:39" x14ac:dyDescent="0.35">
      <c r="G462" s="13"/>
      <c r="H462" s="2"/>
      <c r="AI462"/>
      <c r="AL462" s="31"/>
      <c r="AM462" s="31"/>
    </row>
    <row r="463" spans="7:39" x14ac:dyDescent="0.35">
      <c r="G463" s="13"/>
      <c r="H463" s="2"/>
      <c r="AI463"/>
      <c r="AL463" s="31"/>
      <c r="AM463" s="31"/>
    </row>
    <row r="464" spans="7:39" x14ac:dyDescent="0.35">
      <c r="G464" s="13"/>
      <c r="H464" s="2"/>
      <c r="AI464"/>
      <c r="AL464" s="31"/>
      <c r="AM464" s="31"/>
    </row>
    <row r="465" spans="7:39" x14ac:dyDescent="0.35">
      <c r="G465" s="13"/>
      <c r="H465" s="2"/>
      <c r="AI465"/>
      <c r="AL465" s="31"/>
      <c r="AM465" s="31"/>
    </row>
    <row r="466" spans="7:39" x14ac:dyDescent="0.35">
      <c r="G466" s="13"/>
      <c r="H466" s="2"/>
      <c r="AI466"/>
      <c r="AL466" s="31"/>
      <c r="AM466" s="31"/>
    </row>
    <row r="467" spans="7:39" x14ac:dyDescent="0.35">
      <c r="G467" s="13"/>
      <c r="H467" s="2"/>
      <c r="AI467"/>
      <c r="AL467" s="31"/>
      <c r="AM467" s="31"/>
    </row>
    <row r="468" spans="7:39" x14ac:dyDescent="0.35">
      <c r="G468" s="13"/>
      <c r="H468" s="2"/>
      <c r="AI468"/>
      <c r="AL468" s="31"/>
      <c r="AM468" s="31"/>
    </row>
    <row r="469" spans="7:39" x14ac:dyDescent="0.35">
      <c r="G469" s="13"/>
      <c r="H469" s="2"/>
      <c r="AI469"/>
      <c r="AL469" s="31"/>
      <c r="AM469" s="31"/>
    </row>
    <row r="470" spans="7:39" x14ac:dyDescent="0.35">
      <c r="G470" s="13"/>
      <c r="H470" s="2"/>
      <c r="AI470"/>
      <c r="AL470" s="31"/>
      <c r="AM470" s="31"/>
    </row>
    <row r="471" spans="7:39" x14ac:dyDescent="0.35">
      <c r="G471" s="13"/>
      <c r="H471" s="2"/>
      <c r="AI471"/>
      <c r="AL471" s="31"/>
      <c r="AM471" s="31"/>
    </row>
    <row r="472" spans="7:39" x14ac:dyDescent="0.35">
      <c r="G472" s="13"/>
      <c r="H472" s="2"/>
      <c r="AI472"/>
      <c r="AL472" s="31"/>
      <c r="AM472" s="31"/>
    </row>
    <row r="473" spans="7:39" x14ac:dyDescent="0.35">
      <c r="G473" s="13"/>
      <c r="H473" s="2"/>
      <c r="AI473"/>
      <c r="AL473" s="31"/>
      <c r="AM473" s="31"/>
    </row>
    <row r="474" spans="7:39" x14ac:dyDescent="0.35">
      <c r="G474" s="13"/>
      <c r="H474" s="2"/>
      <c r="AI474"/>
      <c r="AL474" s="31"/>
      <c r="AM474" s="31"/>
    </row>
    <row r="475" spans="7:39" x14ac:dyDescent="0.35">
      <c r="G475" s="13"/>
      <c r="H475" s="2"/>
      <c r="AI475"/>
      <c r="AL475" s="31"/>
      <c r="AM475" s="31"/>
    </row>
    <row r="476" spans="7:39" x14ac:dyDescent="0.35">
      <c r="G476" s="13"/>
      <c r="H476" s="2"/>
      <c r="AI476"/>
      <c r="AL476" s="31"/>
      <c r="AM476" s="31"/>
    </row>
    <row r="477" spans="7:39" x14ac:dyDescent="0.35">
      <c r="G477" s="13"/>
      <c r="H477" s="2"/>
      <c r="AI477"/>
      <c r="AL477" s="31"/>
      <c r="AM477" s="31"/>
    </row>
    <row r="478" spans="7:39" x14ac:dyDescent="0.35">
      <c r="G478" s="13"/>
      <c r="H478" s="2"/>
      <c r="AI478"/>
      <c r="AL478" s="31"/>
      <c r="AM478" s="31"/>
    </row>
    <row r="479" spans="7:39" x14ac:dyDescent="0.35">
      <c r="G479" s="13"/>
      <c r="H479" s="2"/>
      <c r="AI479"/>
      <c r="AL479" s="31"/>
      <c r="AM479" s="31"/>
    </row>
    <row r="480" spans="7:39" x14ac:dyDescent="0.35">
      <c r="G480" s="13"/>
      <c r="H480" s="2"/>
      <c r="AI480"/>
      <c r="AL480" s="31"/>
      <c r="AM480" s="31"/>
    </row>
    <row r="481" spans="7:39" x14ac:dyDescent="0.35">
      <c r="G481" s="13"/>
      <c r="H481" s="2"/>
      <c r="AI481"/>
      <c r="AL481" s="31"/>
      <c r="AM481" s="31"/>
    </row>
    <row r="482" spans="7:39" x14ac:dyDescent="0.35">
      <c r="G482" s="13"/>
      <c r="H482" s="2"/>
      <c r="AI482"/>
      <c r="AL482" s="31"/>
      <c r="AM482" s="31"/>
    </row>
    <row r="483" spans="7:39" x14ac:dyDescent="0.35">
      <c r="G483" s="13"/>
      <c r="H483" s="2"/>
      <c r="AI483"/>
      <c r="AL483" s="31"/>
      <c r="AM483" s="31"/>
    </row>
    <row r="484" spans="7:39" x14ac:dyDescent="0.35">
      <c r="G484" s="13"/>
      <c r="H484" s="2"/>
      <c r="AI484"/>
      <c r="AL484" s="31"/>
      <c r="AM484" s="31"/>
    </row>
    <row r="485" spans="7:39" x14ac:dyDescent="0.35">
      <c r="G485" s="13"/>
      <c r="H485" s="2"/>
      <c r="AI485"/>
      <c r="AL485" s="31"/>
      <c r="AM485" s="31"/>
    </row>
    <row r="486" spans="7:39" x14ac:dyDescent="0.35">
      <c r="G486" s="13"/>
      <c r="H486" s="2"/>
      <c r="AI486"/>
      <c r="AL486" s="31"/>
      <c r="AM486" s="31"/>
    </row>
    <row r="487" spans="7:39" x14ac:dyDescent="0.35">
      <c r="G487" s="13"/>
      <c r="H487" s="2"/>
      <c r="AI487"/>
      <c r="AL487" s="31"/>
      <c r="AM487" s="31"/>
    </row>
    <row r="488" spans="7:39" x14ac:dyDescent="0.35">
      <c r="G488" s="13"/>
      <c r="H488" s="2"/>
      <c r="AI488"/>
      <c r="AL488" s="31"/>
      <c r="AM488" s="31"/>
    </row>
    <row r="489" spans="7:39" x14ac:dyDescent="0.35">
      <c r="G489" s="13"/>
      <c r="H489" s="2"/>
      <c r="AI489"/>
      <c r="AL489" s="31"/>
      <c r="AM489" s="31"/>
    </row>
    <row r="490" spans="7:39" x14ac:dyDescent="0.35">
      <c r="G490" s="13"/>
      <c r="H490" s="2"/>
      <c r="AI490"/>
      <c r="AL490" s="31"/>
      <c r="AM490" s="31"/>
    </row>
    <row r="491" spans="7:39" x14ac:dyDescent="0.35">
      <c r="G491" s="13"/>
      <c r="H491" s="2"/>
      <c r="AI491"/>
      <c r="AL491" s="31"/>
      <c r="AM491" s="31"/>
    </row>
    <row r="492" spans="7:39" x14ac:dyDescent="0.35">
      <c r="G492" s="13"/>
      <c r="H492" s="2"/>
      <c r="AI492"/>
      <c r="AL492" s="31"/>
      <c r="AM492" s="31"/>
    </row>
    <row r="493" spans="7:39" x14ac:dyDescent="0.35">
      <c r="G493" s="13"/>
      <c r="H493" s="2"/>
      <c r="AI493"/>
      <c r="AL493" s="31"/>
      <c r="AM493" s="31"/>
    </row>
    <row r="494" spans="7:39" x14ac:dyDescent="0.35">
      <c r="G494" s="13"/>
      <c r="H494" s="2"/>
      <c r="AI494"/>
      <c r="AL494" s="31"/>
      <c r="AM494" s="31"/>
    </row>
    <row r="495" spans="7:39" x14ac:dyDescent="0.35">
      <c r="G495" s="13"/>
      <c r="H495" s="2"/>
      <c r="AI495"/>
      <c r="AL495" s="31"/>
      <c r="AM495" s="31"/>
    </row>
    <row r="496" spans="7:39" x14ac:dyDescent="0.35">
      <c r="G496" s="13"/>
      <c r="H496" s="2"/>
      <c r="AI496"/>
      <c r="AL496" s="31"/>
      <c r="AM496" s="31"/>
    </row>
    <row r="497" spans="7:39" x14ac:dyDescent="0.35">
      <c r="G497" s="13"/>
      <c r="H497" s="2"/>
      <c r="AI497"/>
      <c r="AL497" s="31"/>
      <c r="AM497" s="31"/>
    </row>
    <row r="498" spans="7:39" x14ac:dyDescent="0.35">
      <c r="G498" s="13"/>
      <c r="H498" s="2"/>
      <c r="AI498"/>
      <c r="AL498" s="31"/>
      <c r="AM498" s="31"/>
    </row>
    <row r="499" spans="7:39" x14ac:dyDescent="0.35">
      <c r="G499" s="13"/>
      <c r="H499" s="2"/>
      <c r="AI499"/>
      <c r="AL499" s="31"/>
      <c r="AM499" s="31"/>
    </row>
    <row r="500" spans="7:39" x14ac:dyDescent="0.35">
      <c r="G500" s="13"/>
      <c r="H500" s="2"/>
      <c r="AI500"/>
      <c r="AL500" s="31"/>
      <c r="AM500" s="31"/>
    </row>
    <row r="501" spans="7:39" x14ac:dyDescent="0.35">
      <c r="G501" s="13"/>
      <c r="H501" s="2"/>
      <c r="AI501"/>
      <c r="AL501" s="31"/>
      <c r="AM501" s="31"/>
    </row>
    <row r="502" spans="7:39" x14ac:dyDescent="0.35">
      <c r="G502" s="13"/>
      <c r="H502" s="2"/>
      <c r="AI502"/>
      <c r="AL502" s="31"/>
      <c r="AM502" s="31"/>
    </row>
  </sheetData>
  <phoneticPr fontId="4" type="noConversion"/>
  <conditionalFormatting sqref="A1:XFD270 A271:H274 AK271:XFD277 AE271:AH285 AI271:AJ317 J274:AD277 I274:I285 A275:G277 A278:A285 C278:C331 M286:AH301 AK286:AM301 AO286:XFD301 A286:B363 E287:G293 D294:G331 AK302:XFD305 H302:AH317 AK306:AM317 AN306:XFD331 K318:AM331 H318:J363 C332:G363 K332:AH363 AI332:XFD451 M364:AH373 A364:L376 M374:AF376 AG374:AH392 A377:AF392 A393:AH438 A439:J447 AH439:AH451 K439:AF454 AG439:AG470 A448:C450 D448:J454 B451:C454 A451:A470 AH452:XFD454 A455:XFD471 A472:AN1048576">
    <cfRule type="expression" dxfId="24" priority="49">
      <formula>ISODD($A1)</formula>
    </cfRule>
    <cfRule type="expression" dxfId="23" priority="50">
      <formula>ISEVEN($A1)</formula>
    </cfRule>
  </conditionalFormatting>
  <conditionalFormatting sqref="B278:B285">
    <cfRule type="expression" dxfId="22" priority="47">
      <formula>ISODD($A278)</formula>
    </cfRule>
    <cfRule type="expression" dxfId="21" priority="48">
      <formula>ISEVEN($A278)</formula>
    </cfRule>
  </conditionalFormatting>
  <conditionalFormatting sqref="D287:D293">
    <cfRule type="expression" dxfId="20" priority="9">
      <formula>ISODD($A287)</formula>
    </cfRule>
    <cfRule type="expression" dxfId="19" priority="10">
      <formula>ISEVEN($A287)</formula>
    </cfRule>
  </conditionalFormatting>
  <conditionalFormatting sqref="H275:H285">
    <cfRule type="expression" dxfId="18" priority="39">
      <formula>ISODD($A275)</formula>
    </cfRule>
    <cfRule type="expression" dxfId="17" priority="40">
      <formula>ISEVEN($A275)</formula>
    </cfRule>
  </conditionalFormatting>
  <conditionalFormatting sqref="I271:AD273 M278:AD285 AK278:AN285 D278:G286 H286:K301">
    <cfRule type="expression" dxfId="16" priority="51">
      <formula>ISODD($A271)</formula>
    </cfRule>
    <cfRule type="expression" dxfId="15" priority="53">
      <formula>ISEVEN($A271)</formula>
    </cfRule>
  </conditionalFormatting>
  <conditionalFormatting sqref="J278:J285">
    <cfRule type="expression" dxfId="14" priority="35">
      <formula>ISODD($A278)</formula>
    </cfRule>
    <cfRule type="expression" dxfId="13" priority="36">
      <formula>ISEVEN($A278)</formula>
    </cfRule>
  </conditionalFormatting>
  <conditionalFormatting sqref="K278:K285">
    <cfRule type="expression" dxfId="12" priority="45">
      <formula>ISODD($A278)</formula>
    </cfRule>
    <cfRule type="expression" dxfId="11" priority="46">
      <formula>ISEVEN($A278)</formula>
    </cfRule>
  </conditionalFormatting>
  <conditionalFormatting sqref="L278:L301">
    <cfRule type="expression" dxfId="10" priority="11">
      <formula>ISODD($A278)</formula>
    </cfRule>
    <cfRule type="expression" dxfId="9" priority="12">
      <formula>ISEVEN($A278)</formula>
    </cfRule>
  </conditionalFormatting>
  <conditionalFormatting sqref="AD1:AD1048576">
    <cfRule type="cellIs" dxfId="8" priority="57" operator="between">
      <formula>1</formula>
      <formula>24</formula>
    </cfRule>
    <cfRule type="cellIs" dxfId="7" priority="58" operator="between">
      <formula>24</formula>
      <formula>240</formula>
    </cfRule>
  </conditionalFormatting>
  <conditionalFormatting sqref="AE2:AE131 AE133:AE195">
    <cfRule type="cellIs" dxfId="6" priority="54" operator="greaterThan">
      <formula>0</formula>
    </cfRule>
  </conditionalFormatting>
  <conditionalFormatting sqref="AN286:AN301">
    <cfRule type="expression" dxfId="5" priority="7">
      <formula>ISODD($A286)</formula>
    </cfRule>
    <cfRule type="expression" dxfId="4" priority="8">
      <formula>ISEVEN($A286)</formula>
    </cfRule>
  </conditionalFormatting>
  <conditionalFormatting sqref="AO472:XFD1048576">
    <cfRule type="expression" dxfId="3" priority="63">
      <formula>ISODD($A503)</formula>
    </cfRule>
    <cfRule type="expression" dxfId="2" priority="64">
      <formula>ISEVEN($A503)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DF20-E3BB-4C21-961D-DD96EDB8DD0E}">
  <dimension ref="A1:V439"/>
  <sheetViews>
    <sheetView workbookViewId="0">
      <pane ySplit="1" topLeftCell="A117" activePane="bottomLeft" state="frozen"/>
      <selection pane="bottomLeft" activeCell="D123" sqref="D123"/>
    </sheetView>
  </sheetViews>
  <sheetFormatPr defaultRowHeight="14.5" x14ac:dyDescent="0.35"/>
  <cols>
    <col min="1" max="1" width="13.26953125" customWidth="1"/>
    <col min="2" max="2" width="17.81640625" customWidth="1"/>
    <col min="3" max="3" width="3.81640625" bestFit="1" customWidth="1"/>
    <col min="21" max="21" width="19.54296875" bestFit="1" customWidth="1"/>
  </cols>
  <sheetData>
    <row r="1" spans="1:22" s="1" customFormat="1" ht="15" thickBot="1" x14ac:dyDescent="0.4">
      <c r="A1" s="1" t="s">
        <v>106</v>
      </c>
      <c r="B1" s="1" t="s">
        <v>105</v>
      </c>
      <c r="C1" s="1" t="s">
        <v>9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U1" s="1" t="s">
        <v>8</v>
      </c>
      <c r="V1" s="1" t="s">
        <v>7</v>
      </c>
    </row>
    <row r="2" spans="1:22" ht="15" thickTop="1" x14ac:dyDescent="0.35">
      <c r="A2" t="s">
        <v>38</v>
      </c>
      <c r="B2" t="s">
        <v>34</v>
      </c>
      <c r="C2" t="s">
        <v>0</v>
      </c>
      <c r="D2">
        <v>1</v>
      </c>
      <c r="E2">
        <v>0</v>
      </c>
      <c r="F2">
        <v>0</v>
      </c>
      <c r="G2">
        <v>0</v>
      </c>
      <c r="H2">
        <v>2</v>
      </c>
      <c r="I2">
        <v>2</v>
      </c>
      <c r="J2">
        <v>2</v>
      </c>
      <c r="K2">
        <v>10</v>
      </c>
      <c r="L2">
        <v>4</v>
      </c>
      <c r="M2">
        <v>6</v>
      </c>
      <c r="N2">
        <v>5</v>
      </c>
      <c r="O2">
        <v>2</v>
      </c>
      <c r="P2">
        <v>6</v>
      </c>
      <c r="Q2">
        <v>3</v>
      </c>
      <c r="R2">
        <v>7</v>
      </c>
      <c r="S2">
        <v>4</v>
      </c>
      <c r="U2">
        <f>SUMPRODUCT(D1:S1, D2:S2) / SUM(D2:S2)</f>
        <v>10.75925925925926</v>
      </c>
      <c r="V2">
        <f>SUM(D2:S2)</f>
        <v>54</v>
      </c>
    </row>
    <row r="3" spans="1:22" x14ac:dyDescent="0.35">
      <c r="A3" t="s">
        <v>104</v>
      </c>
      <c r="B3" t="s">
        <v>33</v>
      </c>
      <c r="C3" t="s">
        <v>3</v>
      </c>
      <c r="D3">
        <v>1</v>
      </c>
      <c r="E3">
        <v>2</v>
      </c>
      <c r="F3">
        <v>1</v>
      </c>
      <c r="G3">
        <v>1</v>
      </c>
      <c r="H3">
        <v>2</v>
      </c>
      <c r="I3">
        <v>1</v>
      </c>
      <c r="J3">
        <v>6</v>
      </c>
      <c r="K3">
        <v>12</v>
      </c>
      <c r="L3">
        <v>10</v>
      </c>
      <c r="M3">
        <v>5</v>
      </c>
      <c r="N3">
        <v>7</v>
      </c>
      <c r="O3">
        <v>8</v>
      </c>
      <c r="P3">
        <v>3</v>
      </c>
      <c r="Q3">
        <v>1</v>
      </c>
      <c r="R3">
        <v>2</v>
      </c>
      <c r="S3">
        <v>1</v>
      </c>
      <c r="U3">
        <f>SUMPRODUCT(D1:S1, D3:S3) / SUM(D3:S3)</f>
        <v>9.174603174603174</v>
      </c>
      <c r="V3">
        <f>SUM(D3:S3)</f>
        <v>63</v>
      </c>
    </row>
    <row r="4" spans="1:22" x14ac:dyDescent="0.35">
      <c r="A4" t="s">
        <v>103</v>
      </c>
      <c r="B4" t="s">
        <v>32</v>
      </c>
      <c r="C4" t="s">
        <v>3</v>
      </c>
      <c r="D4">
        <v>0</v>
      </c>
      <c r="E4">
        <v>2</v>
      </c>
      <c r="F4">
        <v>0</v>
      </c>
      <c r="G4">
        <v>1</v>
      </c>
      <c r="H4">
        <v>1</v>
      </c>
      <c r="I4">
        <v>0</v>
      </c>
      <c r="J4">
        <v>1</v>
      </c>
      <c r="K4">
        <v>4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U4">
        <f>SUMPRODUCT(D1:S1, D4:S4) / SUM(D4:S4)</f>
        <v>6.7272727272727275</v>
      </c>
      <c r="V4">
        <f>SUM(D4:S4)</f>
        <v>11</v>
      </c>
    </row>
    <row r="5" spans="1:22" x14ac:dyDescent="0.35">
      <c r="B5" t="s">
        <v>31</v>
      </c>
      <c r="C5" t="s">
        <v>0</v>
      </c>
      <c r="D5">
        <v>2</v>
      </c>
      <c r="E5">
        <v>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  <c r="O5">
        <v>2</v>
      </c>
      <c r="P5">
        <v>1</v>
      </c>
      <c r="Q5">
        <v>1</v>
      </c>
      <c r="R5">
        <v>1</v>
      </c>
      <c r="S5">
        <v>0</v>
      </c>
      <c r="U5">
        <f>SUMPRODUCT(D1:S1, D5:S5) / SUM(D5:S5)</f>
        <v>8</v>
      </c>
      <c r="V5">
        <f>SUM(D5:S5)</f>
        <v>13</v>
      </c>
    </row>
    <row r="6" spans="1:22" x14ac:dyDescent="0.35">
      <c r="B6" t="s">
        <v>90</v>
      </c>
    </row>
    <row r="8" spans="1:22" x14ac:dyDescent="0.35">
      <c r="A8" t="s">
        <v>37</v>
      </c>
      <c r="B8" t="s">
        <v>34</v>
      </c>
      <c r="C8" t="s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6</v>
      </c>
      <c r="J8">
        <v>2</v>
      </c>
      <c r="K8">
        <v>11</v>
      </c>
      <c r="L8">
        <v>7</v>
      </c>
      <c r="M8">
        <v>15</v>
      </c>
      <c r="N8">
        <v>3</v>
      </c>
      <c r="O8">
        <v>6</v>
      </c>
      <c r="P8">
        <v>7</v>
      </c>
      <c r="Q8">
        <v>9</v>
      </c>
      <c r="R8">
        <v>5</v>
      </c>
      <c r="S8">
        <v>8</v>
      </c>
      <c r="U8">
        <f>SUMPRODUCT(D1:S1, D8:S8) / SUM(D8:S8)</f>
        <v>10.851851851851851</v>
      </c>
      <c r="V8">
        <f>SUM(D8:S8)</f>
        <v>81</v>
      </c>
    </row>
    <row r="9" spans="1:22" x14ac:dyDescent="0.35">
      <c r="A9" t="s">
        <v>102</v>
      </c>
      <c r="B9" t="s">
        <v>33</v>
      </c>
      <c r="C9" t="s">
        <v>3</v>
      </c>
      <c r="D9">
        <v>1</v>
      </c>
      <c r="E9">
        <v>3</v>
      </c>
      <c r="F9">
        <v>2</v>
      </c>
      <c r="G9">
        <v>1</v>
      </c>
      <c r="H9">
        <v>2</v>
      </c>
      <c r="I9">
        <v>2</v>
      </c>
      <c r="J9">
        <v>7</v>
      </c>
      <c r="K9">
        <v>7</v>
      </c>
      <c r="L9">
        <v>8</v>
      </c>
      <c r="M9">
        <v>9</v>
      </c>
      <c r="N9">
        <v>4</v>
      </c>
      <c r="O9">
        <v>13</v>
      </c>
      <c r="P9">
        <v>10</v>
      </c>
      <c r="Q9">
        <v>8</v>
      </c>
      <c r="R9">
        <v>1</v>
      </c>
      <c r="S9">
        <v>5</v>
      </c>
      <c r="U9">
        <f>SUMPRODUCT(D1:S1, D9:S9) / SUM(D9:S9)</f>
        <v>10.156626506024097</v>
      </c>
      <c r="V9">
        <f>SUM(D9:S9)</f>
        <v>83</v>
      </c>
    </row>
    <row r="10" spans="1:22" x14ac:dyDescent="0.35">
      <c r="A10" t="s">
        <v>101</v>
      </c>
      <c r="B10" t="s">
        <v>32</v>
      </c>
      <c r="C10" t="s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6</v>
      </c>
      <c r="O10">
        <v>3</v>
      </c>
      <c r="P10">
        <v>0</v>
      </c>
      <c r="Q10">
        <v>1</v>
      </c>
      <c r="R10">
        <v>2</v>
      </c>
      <c r="S10">
        <v>1</v>
      </c>
      <c r="U10">
        <f>SUMPRODUCT(D1:S1, D10:S10) / SUM(D10:S10)</f>
        <v>11.411764705882353</v>
      </c>
      <c r="V10">
        <f>SUM(D10:S10)</f>
        <v>17</v>
      </c>
    </row>
    <row r="11" spans="1:22" x14ac:dyDescent="0.35">
      <c r="A11" t="s">
        <v>100</v>
      </c>
      <c r="B11" t="s">
        <v>31</v>
      </c>
      <c r="C11" t="s">
        <v>0</v>
      </c>
      <c r="D11">
        <v>0</v>
      </c>
      <c r="E11">
        <v>2</v>
      </c>
      <c r="F11">
        <v>0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U11">
        <f>SUMPRODUCT(D1:S1, D11:S11) / SUM(D11:S11)</f>
        <v>5.333333333333333</v>
      </c>
      <c r="V11">
        <f>SUM(D11:S11)</f>
        <v>6</v>
      </c>
    </row>
    <row r="12" spans="1:22" x14ac:dyDescent="0.35">
      <c r="B12" t="s">
        <v>89</v>
      </c>
    </row>
    <row r="13" spans="1:22" s="3" customFormat="1" x14ac:dyDescent="0.35"/>
    <row r="14" spans="1:22" x14ac:dyDescent="0.35">
      <c r="A14" t="s">
        <v>36</v>
      </c>
      <c r="B14" t="s">
        <v>34</v>
      </c>
      <c r="C14" t="s">
        <v>3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4</v>
      </c>
      <c r="L14">
        <v>6</v>
      </c>
      <c r="M14">
        <v>6</v>
      </c>
      <c r="N14">
        <v>4</v>
      </c>
      <c r="O14">
        <v>0</v>
      </c>
      <c r="P14">
        <v>0</v>
      </c>
      <c r="Q14">
        <v>1</v>
      </c>
      <c r="R14">
        <v>1</v>
      </c>
      <c r="S14">
        <v>0</v>
      </c>
      <c r="U14">
        <f>SUMPRODUCT(D1:S1, D14:S14) / SUM(D14:S14)</f>
        <v>9.1923076923076916</v>
      </c>
      <c r="V14">
        <f>SUM(D14:S14)</f>
        <v>26</v>
      </c>
    </row>
    <row r="15" spans="1:22" x14ac:dyDescent="0.35">
      <c r="A15" t="s">
        <v>99</v>
      </c>
      <c r="B15" t="s">
        <v>33</v>
      </c>
      <c r="C15" t="s">
        <v>0</v>
      </c>
      <c r="D15">
        <v>1</v>
      </c>
      <c r="E15">
        <v>2</v>
      </c>
      <c r="F15">
        <v>0</v>
      </c>
      <c r="G15">
        <v>0</v>
      </c>
      <c r="H15">
        <v>3</v>
      </c>
      <c r="I15">
        <v>0</v>
      </c>
      <c r="J15">
        <v>6</v>
      </c>
      <c r="K15">
        <v>8</v>
      </c>
      <c r="L15">
        <v>3</v>
      </c>
      <c r="M15">
        <v>7</v>
      </c>
      <c r="N15">
        <v>5</v>
      </c>
      <c r="O15">
        <v>5</v>
      </c>
      <c r="P15">
        <v>9</v>
      </c>
      <c r="Q15">
        <v>7</v>
      </c>
      <c r="R15">
        <v>5</v>
      </c>
      <c r="S15">
        <v>2</v>
      </c>
      <c r="U15">
        <f>SUMPRODUCT(D1:S1, D15:S15) / SUM(D15:S15)</f>
        <v>10.476190476190476</v>
      </c>
      <c r="V15">
        <f>SUM(D15:S15)</f>
        <v>63</v>
      </c>
    </row>
    <row r="16" spans="1:22" x14ac:dyDescent="0.35">
      <c r="B16" t="s">
        <v>95</v>
      </c>
      <c r="C16" t="s">
        <v>3</v>
      </c>
      <c r="D16">
        <v>0</v>
      </c>
      <c r="E16">
        <v>4</v>
      </c>
      <c r="F16">
        <v>2</v>
      </c>
      <c r="G16">
        <v>0</v>
      </c>
      <c r="H16">
        <v>3</v>
      </c>
      <c r="I16">
        <v>4</v>
      </c>
      <c r="J16">
        <v>4</v>
      </c>
      <c r="K16">
        <v>11</v>
      </c>
      <c r="L16">
        <v>7</v>
      </c>
      <c r="M16">
        <v>7</v>
      </c>
      <c r="N16">
        <v>15</v>
      </c>
      <c r="O16">
        <v>10</v>
      </c>
      <c r="P16">
        <v>5</v>
      </c>
      <c r="Q16">
        <v>10</v>
      </c>
      <c r="R16">
        <v>2</v>
      </c>
      <c r="S16">
        <v>2</v>
      </c>
      <c r="U16">
        <f>SUMPRODUCT(D1:S1, D16:S16) / SUM(D16:S16)</f>
        <v>9.9302325581395348</v>
      </c>
      <c r="V16">
        <f>SUM(D16:S16)</f>
        <v>86</v>
      </c>
    </row>
    <row r="17" spans="1:22" x14ac:dyDescent="0.35">
      <c r="A17" t="s">
        <v>98</v>
      </c>
      <c r="B17" t="s">
        <v>93</v>
      </c>
      <c r="C17" t="s">
        <v>0</v>
      </c>
      <c r="D17">
        <v>4</v>
      </c>
      <c r="E17">
        <v>8</v>
      </c>
      <c r="F17">
        <v>8</v>
      </c>
      <c r="G17">
        <v>4</v>
      </c>
      <c r="H17">
        <v>4</v>
      </c>
      <c r="I17">
        <v>5</v>
      </c>
      <c r="J17">
        <v>6</v>
      </c>
      <c r="K17">
        <v>11</v>
      </c>
      <c r="L17">
        <v>9</v>
      </c>
      <c r="M17">
        <v>6</v>
      </c>
      <c r="N17">
        <v>10</v>
      </c>
      <c r="O17">
        <v>9</v>
      </c>
      <c r="P17">
        <v>3</v>
      </c>
      <c r="Q17">
        <v>1</v>
      </c>
      <c r="R17">
        <v>3</v>
      </c>
      <c r="S17">
        <v>2</v>
      </c>
      <c r="U17">
        <f>SUMPRODUCT(D1:S1, D17:S17) / SUM(D17:S17)</f>
        <v>7.838709677419355</v>
      </c>
      <c r="V17">
        <f>SUM(D17:S17)</f>
        <v>93</v>
      </c>
    </row>
    <row r="18" spans="1:22" x14ac:dyDescent="0.35">
      <c r="B18" t="s">
        <v>97</v>
      </c>
    </row>
    <row r="20" spans="1:22" x14ac:dyDescent="0.35">
      <c r="A20" t="s">
        <v>35</v>
      </c>
      <c r="B20" t="s">
        <v>34</v>
      </c>
      <c r="C20" t="s">
        <v>3</v>
      </c>
      <c r="D20">
        <v>0</v>
      </c>
      <c r="E20">
        <v>0</v>
      </c>
      <c r="F20">
        <v>0</v>
      </c>
      <c r="G20">
        <v>1</v>
      </c>
      <c r="H20">
        <v>5</v>
      </c>
      <c r="I20">
        <v>3</v>
      </c>
      <c r="J20">
        <v>10</v>
      </c>
      <c r="K20">
        <v>3</v>
      </c>
      <c r="L20">
        <v>6</v>
      </c>
      <c r="M20">
        <v>17</v>
      </c>
      <c r="N20">
        <v>15</v>
      </c>
      <c r="O20">
        <v>6</v>
      </c>
      <c r="P20">
        <v>6</v>
      </c>
      <c r="Q20">
        <v>3</v>
      </c>
      <c r="R20">
        <v>0</v>
      </c>
      <c r="S20">
        <v>2</v>
      </c>
      <c r="U20">
        <f>SUMPRODUCT(D1:S1, D20:S20) / SUM(D20:S20)</f>
        <v>9.7922077922077921</v>
      </c>
      <c r="V20">
        <f>SUM(D20:S20)</f>
        <v>77</v>
      </c>
    </row>
    <row r="21" spans="1:22" x14ac:dyDescent="0.35">
      <c r="A21" t="s">
        <v>96</v>
      </c>
      <c r="B21" t="s">
        <v>33</v>
      </c>
      <c r="C21" t="s">
        <v>0</v>
      </c>
      <c r="D21">
        <v>2</v>
      </c>
      <c r="E21">
        <v>0</v>
      </c>
      <c r="F21">
        <v>6</v>
      </c>
      <c r="G21">
        <v>5</v>
      </c>
      <c r="H21">
        <v>4</v>
      </c>
      <c r="I21">
        <v>1</v>
      </c>
      <c r="J21">
        <v>4</v>
      </c>
      <c r="K21">
        <v>6</v>
      </c>
      <c r="L21">
        <v>4</v>
      </c>
      <c r="M21">
        <v>1</v>
      </c>
      <c r="N21">
        <v>2</v>
      </c>
      <c r="O21">
        <v>3</v>
      </c>
      <c r="P21">
        <v>1</v>
      </c>
      <c r="Q21">
        <v>0</v>
      </c>
      <c r="R21">
        <v>1</v>
      </c>
      <c r="S21">
        <v>0</v>
      </c>
      <c r="U21">
        <f>SUMPRODUCT(D1:S1, D21:S21) / SUM(D21:S21)</f>
        <v>6.85</v>
      </c>
      <c r="V21">
        <f>SUM(D21:S21)</f>
        <v>40</v>
      </c>
    </row>
    <row r="22" spans="1:22" x14ac:dyDescent="0.35">
      <c r="B22" t="s">
        <v>95</v>
      </c>
      <c r="C22" t="s">
        <v>3</v>
      </c>
      <c r="D22">
        <v>0</v>
      </c>
      <c r="E22">
        <v>0</v>
      </c>
      <c r="F22">
        <v>1</v>
      </c>
      <c r="G22">
        <v>0</v>
      </c>
      <c r="H22">
        <v>3</v>
      </c>
      <c r="I22">
        <v>3</v>
      </c>
      <c r="J22">
        <v>8</v>
      </c>
      <c r="K22">
        <v>4</v>
      </c>
      <c r="L22">
        <v>1</v>
      </c>
      <c r="M22">
        <v>8</v>
      </c>
      <c r="N22">
        <v>7</v>
      </c>
      <c r="O22">
        <v>10</v>
      </c>
      <c r="P22">
        <v>9</v>
      </c>
      <c r="Q22">
        <v>6</v>
      </c>
      <c r="R22">
        <v>0</v>
      </c>
      <c r="S22">
        <v>1</v>
      </c>
      <c r="U22">
        <f>SUMPRODUCT(D1:S1, D22:S22) / SUM(D22:S22)</f>
        <v>10.278688524590164</v>
      </c>
      <c r="V22">
        <f>SUM(D22:S22)</f>
        <v>61</v>
      </c>
    </row>
    <row r="23" spans="1:22" x14ac:dyDescent="0.35">
      <c r="A23" t="s">
        <v>94</v>
      </c>
      <c r="B23" t="s">
        <v>93</v>
      </c>
      <c r="C23" t="s">
        <v>0</v>
      </c>
      <c r="D23">
        <v>0</v>
      </c>
      <c r="E23">
        <v>0</v>
      </c>
      <c r="F23">
        <v>3</v>
      </c>
      <c r="G23">
        <v>1</v>
      </c>
      <c r="H23">
        <v>3</v>
      </c>
      <c r="I23">
        <v>6</v>
      </c>
      <c r="J23">
        <v>3</v>
      </c>
      <c r="K23">
        <v>8</v>
      </c>
      <c r="L23">
        <v>5</v>
      </c>
      <c r="M23">
        <v>0</v>
      </c>
      <c r="N23">
        <v>2</v>
      </c>
      <c r="O23">
        <v>5</v>
      </c>
      <c r="P23">
        <v>2</v>
      </c>
      <c r="Q23">
        <v>3</v>
      </c>
      <c r="R23">
        <v>0</v>
      </c>
      <c r="S23">
        <v>1</v>
      </c>
      <c r="U23">
        <f>SUMPRODUCT(D1:S1, D23:S23) / SUM(D23:S23)</f>
        <v>8.5714285714285712</v>
      </c>
      <c r="V23">
        <f>SUM(D23:S23)</f>
        <v>42</v>
      </c>
    </row>
    <row r="24" spans="1:22" x14ac:dyDescent="0.35">
      <c r="B24" t="s">
        <v>92</v>
      </c>
    </row>
    <row r="26" spans="1:22" x14ac:dyDescent="0.35">
      <c r="A26" t="s">
        <v>51</v>
      </c>
      <c r="B26" t="s">
        <v>34</v>
      </c>
      <c r="C26" t="s">
        <v>3</v>
      </c>
      <c r="D26">
        <v>1</v>
      </c>
      <c r="E26">
        <v>1</v>
      </c>
      <c r="F26">
        <v>3</v>
      </c>
      <c r="G26">
        <v>1</v>
      </c>
      <c r="H26">
        <v>2</v>
      </c>
      <c r="I26">
        <v>0</v>
      </c>
      <c r="J26">
        <v>7</v>
      </c>
      <c r="K26">
        <v>3</v>
      </c>
      <c r="L26">
        <v>1</v>
      </c>
      <c r="M26">
        <v>2</v>
      </c>
      <c r="N26">
        <v>1</v>
      </c>
      <c r="O26">
        <v>6</v>
      </c>
      <c r="P26">
        <v>3</v>
      </c>
      <c r="Q26">
        <v>0</v>
      </c>
      <c r="R26">
        <v>1</v>
      </c>
      <c r="S26">
        <v>2</v>
      </c>
      <c r="U26">
        <f>SUMPRODUCT(D1:S1, D26:S26) / SUM(D26:S26)</f>
        <v>8.735294117647058</v>
      </c>
      <c r="V26">
        <f>SUM(D26:S26)</f>
        <v>34</v>
      </c>
    </row>
    <row r="27" spans="1:22" x14ac:dyDescent="0.35">
      <c r="A27" t="s">
        <v>91</v>
      </c>
      <c r="B27" t="s">
        <v>33</v>
      </c>
      <c r="C27" t="s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2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1</v>
      </c>
      <c r="R27">
        <v>0</v>
      </c>
      <c r="S27">
        <v>1</v>
      </c>
      <c r="U27">
        <f>SUMPRODUCT(D1:S1, D27:S27) / SUM(D27:S27)</f>
        <v>9.9259259259259256</v>
      </c>
      <c r="V27">
        <f>SUM(D27:S27)</f>
        <v>27</v>
      </c>
    </row>
    <row r="28" spans="1:22" x14ac:dyDescent="0.35">
      <c r="B28" t="s">
        <v>90</v>
      </c>
    </row>
    <row r="29" spans="1:22" x14ac:dyDescent="0.35">
      <c r="B29" t="s">
        <v>89</v>
      </c>
    </row>
    <row r="30" spans="1:22" s="3" customFormat="1" x14ac:dyDescent="0.35"/>
    <row r="31" spans="1:22" x14ac:dyDescent="0.35">
      <c r="A31" t="s">
        <v>88</v>
      </c>
      <c r="B31" t="s">
        <v>34</v>
      </c>
      <c r="C31" t="s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</v>
      </c>
      <c r="K31">
        <v>6</v>
      </c>
      <c r="L31">
        <v>4</v>
      </c>
      <c r="M31">
        <v>14</v>
      </c>
      <c r="N31">
        <v>6</v>
      </c>
      <c r="O31">
        <v>5</v>
      </c>
      <c r="P31">
        <v>2</v>
      </c>
      <c r="Q31">
        <v>4</v>
      </c>
      <c r="R31">
        <v>1</v>
      </c>
      <c r="S31">
        <v>2</v>
      </c>
      <c r="U31">
        <f>SUMPRODUCT(D1:S1, D31:S31) / SUM(D31:S31)</f>
        <v>10.5</v>
      </c>
      <c r="V31">
        <f>SUM(D31:S31)</f>
        <v>48</v>
      </c>
    </row>
    <row r="32" spans="1:22" x14ac:dyDescent="0.35">
      <c r="A32" t="s">
        <v>87</v>
      </c>
      <c r="B32" t="s">
        <v>33</v>
      </c>
      <c r="C32" t="s">
        <v>0</v>
      </c>
      <c r="D32">
        <v>4</v>
      </c>
      <c r="E32">
        <v>3</v>
      </c>
      <c r="F32">
        <v>0</v>
      </c>
      <c r="G32">
        <v>0</v>
      </c>
      <c r="H32">
        <v>2</v>
      </c>
      <c r="I32">
        <v>2</v>
      </c>
      <c r="J32">
        <v>4</v>
      </c>
      <c r="K32">
        <v>3</v>
      </c>
      <c r="L32">
        <v>0</v>
      </c>
      <c r="M32">
        <v>5</v>
      </c>
      <c r="N32">
        <v>3</v>
      </c>
      <c r="O32">
        <v>9</v>
      </c>
      <c r="P32">
        <v>5</v>
      </c>
      <c r="Q32">
        <v>4</v>
      </c>
      <c r="R32">
        <v>2</v>
      </c>
      <c r="S32">
        <v>3</v>
      </c>
      <c r="U32">
        <f>SUMPRODUCT(D1:S1, D32:S32) / SUM(D32:S32)</f>
        <v>9.6734693877551017</v>
      </c>
      <c r="V32">
        <f>SUM(D32:S32)</f>
        <v>49</v>
      </c>
    </row>
    <row r="33" spans="1:22" x14ac:dyDescent="0.35">
      <c r="B33" t="s">
        <v>86</v>
      </c>
    </row>
    <row r="36" spans="1:22" x14ac:dyDescent="0.35">
      <c r="A36" t="s">
        <v>85</v>
      </c>
      <c r="B36" t="s">
        <v>34</v>
      </c>
      <c r="C36" t="s">
        <v>3</v>
      </c>
      <c r="D36">
        <v>0</v>
      </c>
      <c r="E36">
        <v>1</v>
      </c>
      <c r="F36">
        <v>0</v>
      </c>
      <c r="G36">
        <v>2</v>
      </c>
      <c r="H36">
        <v>1</v>
      </c>
      <c r="I36">
        <v>1</v>
      </c>
      <c r="J36">
        <v>6</v>
      </c>
      <c r="K36">
        <v>10</v>
      </c>
      <c r="L36">
        <v>8</v>
      </c>
      <c r="M36">
        <v>6</v>
      </c>
      <c r="N36">
        <v>10</v>
      </c>
      <c r="O36">
        <v>9</v>
      </c>
      <c r="P36">
        <v>7</v>
      </c>
      <c r="Q36">
        <v>2</v>
      </c>
      <c r="R36">
        <v>5</v>
      </c>
      <c r="S36">
        <v>0</v>
      </c>
      <c r="U36">
        <f>SUMPRODUCT(D1:S1, D36:S36) / SUM(D36:S36)</f>
        <v>10.102941176470589</v>
      </c>
      <c r="V36">
        <f>SUM(D36:S36)</f>
        <v>68</v>
      </c>
    </row>
    <row r="37" spans="1:22" x14ac:dyDescent="0.35">
      <c r="A37" t="s">
        <v>84</v>
      </c>
      <c r="B37" t="s">
        <v>33</v>
      </c>
      <c r="C37" t="s">
        <v>0</v>
      </c>
      <c r="D37">
        <v>9</v>
      </c>
      <c r="E37">
        <v>9</v>
      </c>
      <c r="F37">
        <v>3</v>
      </c>
      <c r="G37">
        <v>0</v>
      </c>
      <c r="H37">
        <v>1</v>
      </c>
      <c r="I37">
        <v>2</v>
      </c>
      <c r="J37">
        <v>1</v>
      </c>
      <c r="K37">
        <v>1</v>
      </c>
      <c r="L37">
        <v>2</v>
      </c>
      <c r="M37">
        <v>3</v>
      </c>
      <c r="N37">
        <v>2</v>
      </c>
      <c r="O37">
        <v>2</v>
      </c>
      <c r="P37">
        <v>0</v>
      </c>
      <c r="Q37">
        <v>2</v>
      </c>
      <c r="R37">
        <v>6</v>
      </c>
      <c r="S37">
        <v>1</v>
      </c>
      <c r="U37">
        <f>SUMPRODUCT(D1:S1, D37:S37) / SUM(D37:S37)</f>
        <v>6.7272727272727275</v>
      </c>
      <c r="V37">
        <f>SUM(D37:S37)</f>
        <v>44</v>
      </c>
    </row>
    <row r="38" spans="1:22" x14ac:dyDescent="0.35">
      <c r="B38" t="s">
        <v>83</v>
      </c>
    </row>
    <row r="41" spans="1:22" x14ac:dyDescent="0.35">
      <c r="A41" t="s">
        <v>82</v>
      </c>
      <c r="B41" t="s">
        <v>34</v>
      </c>
      <c r="C41" t="s">
        <v>3</v>
      </c>
      <c r="D41">
        <v>0</v>
      </c>
      <c r="E41">
        <v>0</v>
      </c>
      <c r="F41">
        <v>0</v>
      </c>
      <c r="G41">
        <v>0</v>
      </c>
      <c r="H41">
        <v>3</v>
      </c>
      <c r="I41">
        <v>2</v>
      </c>
      <c r="J41">
        <v>4</v>
      </c>
      <c r="K41">
        <v>7</v>
      </c>
      <c r="L41">
        <v>2</v>
      </c>
      <c r="M41">
        <v>4</v>
      </c>
      <c r="N41">
        <v>9</v>
      </c>
      <c r="O41">
        <v>8</v>
      </c>
      <c r="P41">
        <v>6</v>
      </c>
      <c r="Q41">
        <v>4</v>
      </c>
      <c r="R41">
        <v>8</v>
      </c>
      <c r="S41">
        <v>2</v>
      </c>
      <c r="U41">
        <f>SUMPRODUCT(D1:S1, D41:S41) / SUM(D41:S41)</f>
        <v>11.016949152542374</v>
      </c>
      <c r="V41">
        <f>SUM(D41:S41)</f>
        <v>59</v>
      </c>
    </row>
    <row r="42" spans="1:22" x14ac:dyDescent="0.35">
      <c r="A42" t="s">
        <v>81</v>
      </c>
      <c r="B42" t="s">
        <v>33</v>
      </c>
      <c r="C42" t="s">
        <v>0</v>
      </c>
      <c r="D42">
        <v>9</v>
      </c>
      <c r="E42">
        <v>5</v>
      </c>
      <c r="F42">
        <v>4</v>
      </c>
      <c r="G42">
        <v>1</v>
      </c>
      <c r="H42">
        <v>3</v>
      </c>
      <c r="I42">
        <v>2</v>
      </c>
      <c r="J42">
        <v>1</v>
      </c>
      <c r="K42">
        <v>3</v>
      </c>
      <c r="L42">
        <v>2</v>
      </c>
      <c r="M42">
        <v>3</v>
      </c>
      <c r="N42">
        <v>0</v>
      </c>
      <c r="O42">
        <v>0</v>
      </c>
      <c r="P42">
        <v>1</v>
      </c>
      <c r="Q42">
        <v>5</v>
      </c>
      <c r="R42">
        <v>3</v>
      </c>
      <c r="S42">
        <v>3</v>
      </c>
      <c r="U42">
        <f>SUMPRODUCT(D1:S1, D42:S42) / SUM(D42:S42)</f>
        <v>7.0444444444444443</v>
      </c>
      <c r="V42">
        <f>SUM(D42:S42)</f>
        <v>45</v>
      </c>
    </row>
    <row r="43" spans="1:22" x14ac:dyDescent="0.35">
      <c r="B43" t="s">
        <v>80</v>
      </c>
    </row>
    <row r="45" spans="1:22" x14ac:dyDescent="0.35">
      <c r="A45" t="s">
        <v>79</v>
      </c>
      <c r="B45" t="s">
        <v>34</v>
      </c>
      <c r="C45" t="s">
        <v>3</v>
      </c>
      <c r="D45">
        <v>0</v>
      </c>
      <c r="E45">
        <v>1</v>
      </c>
      <c r="F45">
        <v>0</v>
      </c>
      <c r="G45">
        <v>0</v>
      </c>
      <c r="H45">
        <v>2</v>
      </c>
      <c r="I45">
        <v>6</v>
      </c>
      <c r="J45">
        <v>4</v>
      </c>
      <c r="K45">
        <v>5</v>
      </c>
      <c r="L45">
        <v>3</v>
      </c>
      <c r="M45">
        <v>8</v>
      </c>
      <c r="N45">
        <v>9</v>
      </c>
      <c r="O45">
        <v>6</v>
      </c>
      <c r="P45">
        <v>10</v>
      </c>
      <c r="Q45">
        <v>5</v>
      </c>
      <c r="R45">
        <v>6</v>
      </c>
      <c r="S45">
        <v>1</v>
      </c>
      <c r="U45">
        <f>SUMPRODUCT(D1:S1, D45:S45) / SUM(D45:S45)</f>
        <v>10.606060606060606</v>
      </c>
      <c r="V45">
        <f>SUM(D45:S45)</f>
        <v>66</v>
      </c>
    </row>
    <row r="46" spans="1:22" x14ac:dyDescent="0.35">
      <c r="A46" t="s">
        <v>78</v>
      </c>
      <c r="B46" t="s">
        <v>33</v>
      </c>
      <c r="C46" t="s">
        <v>0</v>
      </c>
      <c r="D46">
        <v>14</v>
      </c>
      <c r="E46">
        <v>13</v>
      </c>
      <c r="F46">
        <v>4</v>
      </c>
      <c r="G46">
        <v>1</v>
      </c>
      <c r="H46">
        <v>2</v>
      </c>
      <c r="I46">
        <v>2</v>
      </c>
      <c r="J46">
        <v>4</v>
      </c>
      <c r="K46">
        <v>4</v>
      </c>
      <c r="L46">
        <v>3</v>
      </c>
      <c r="M46">
        <v>4</v>
      </c>
      <c r="N46">
        <v>1</v>
      </c>
      <c r="O46">
        <v>3</v>
      </c>
      <c r="P46">
        <v>6</v>
      </c>
      <c r="Q46">
        <v>7</v>
      </c>
      <c r="R46">
        <v>6</v>
      </c>
      <c r="S46">
        <v>8</v>
      </c>
      <c r="T46" t="s">
        <v>74</v>
      </c>
      <c r="U46">
        <f>SUMPRODUCT(D1:S1, D46:S46) / SUM(D46:S46)</f>
        <v>7.8780487804878048</v>
      </c>
      <c r="V46">
        <f>SUM(D46:S46)</f>
        <v>82</v>
      </c>
    </row>
    <row r="47" spans="1:22" x14ac:dyDescent="0.35">
      <c r="B47" t="s">
        <v>77</v>
      </c>
    </row>
    <row r="48" spans="1:22" s="9" customFormat="1" ht="15" thickBot="1" x14ac:dyDescent="0.4"/>
    <row r="49" spans="1:22" s="7" customFormat="1" ht="15.5" thickTop="1" thickBot="1" x14ac:dyDescent="0.4">
      <c r="A49" s="8" t="s">
        <v>76</v>
      </c>
      <c r="B49" s="8" t="s">
        <v>39</v>
      </c>
      <c r="C49" s="8" t="s">
        <v>9</v>
      </c>
      <c r="D49" s="8">
        <v>1</v>
      </c>
      <c r="E49" s="8">
        <v>2</v>
      </c>
      <c r="F49" s="8">
        <v>3</v>
      </c>
      <c r="G49" s="8">
        <v>4</v>
      </c>
      <c r="H49" s="8">
        <v>5</v>
      </c>
      <c r="I49" s="8">
        <v>6</v>
      </c>
      <c r="J49" s="8">
        <v>7</v>
      </c>
      <c r="K49" s="8">
        <v>8</v>
      </c>
      <c r="L49" s="8">
        <v>9</v>
      </c>
      <c r="M49" s="8">
        <v>10</v>
      </c>
      <c r="N49" s="8">
        <v>11</v>
      </c>
      <c r="O49" s="8">
        <v>12</v>
      </c>
      <c r="P49" s="8">
        <v>13</v>
      </c>
      <c r="Q49" s="8">
        <v>14</v>
      </c>
      <c r="R49" s="8">
        <v>15</v>
      </c>
      <c r="S49" s="8">
        <v>16</v>
      </c>
    </row>
    <row r="50" spans="1:22" ht="15" thickTop="1" x14ac:dyDescent="0.35">
      <c r="A50" s="6" t="s">
        <v>38</v>
      </c>
      <c r="B50" s="6" t="s">
        <v>59</v>
      </c>
    </row>
    <row r="51" spans="1:22" x14ac:dyDescent="0.35">
      <c r="A51" t="s">
        <v>75</v>
      </c>
      <c r="B51" t="s">
        <v>34</v>
      </c>
      <c r="C51" t="s">
        <v>0</v>
      </c>
      <c r="D51">
        <v>0</v>
      </c>
      <c r="E51">
        <v>0</v>
      </c>
      <c r="F51">
        <v>1</v>
      </c>
      <c r="G51">
        <v>2</v>
      </c>
      <c r="H51">
        <v>2</v>
      </c>
      <c r="I51">
        <v>2</v>
      </c>
      <c r="J51">
        <v>2</v>
      </c>
      <c r="K51">
        <v>4</v>
      </c>
      <c r="L51">
        <v>9</v>
      </c>
      <c r="M51">
        <v>10</v>
      </c>
      <c r="N51">
        <v>10</v>
      </c>
      <c r="O51">
        <v>7</v>
      </c>
      <c r="P51">
        <v>4</v>
      </c>
      <c r="Q51">
        <v>2</v>
      </c>
      <c r="R51">
        <v>14</v>
      </c>
      <c r="S51">
        <v>3</v>
      </c>
      <c r="U51">
        <f>SUMPRODUCT(D49:S49, D51:S51) / SUM(D51:S51)</f>
        <v>11</v>
      </c>
      <c r="V51">
        <f>SUM(D51:S51)</f>
        <v>72</v>
      </c>
    </row>
    <row r="52" spans="1:22" x14ac:dyDescent="0.35">
      <c r="B52" t="s">
        <v>33</v>
      </c>
      <c r="C52" t="s">
        <v>3</v>
      </c>
      <c r="D52">
        <v>0</v>
      </c>
      <c r="E52">
        <v>3</v>
      </c>
      <c r="F52">
        <v>2</v>
      </c>
      <c r="G52">
        <v>2</v>
      </c>
      <c r="H52">
        <v>3</v>
      </c>
      <c r="I52">
        <v>3</v>
      </c>
      <c r="J52">
        <v>12</v>
      </c>
      <c r="K52">
        <v>11</v>
      </c>
      <c r="L52">
        <v>10</v>
      </c>
      <c r="M52">
        <v>9</v>
      </c>
      <c r="N52">
        <v>9</v>
      </c>
      <c r="O52">
        <v>4</v>
      </c>
      <c r="P52">
        <v>7</v>
      </c>
      <c r="Q52">
        <v>5</v>
      </c>
      <c r="R52">
        <v>6</v>
      </c>
      <c r="S52">
        <v>2</v>
      </c>
      <c r="U52">
        <f>SUMPRODUCT(D49:S49, D52:S52) / SUM(D52:S52)</f>
        <v>9.4886363636363633</v>
      </c>
      <c r="V52">
        <f>SUM(D52:S52)</f>
        <v>88</v>
      </c>
    </row>
    <row r="53" spans="1:22" x14ac:dyDescent="0.35">
      <c r="B53" t="s">
        <v>32</v>
      </c>
      <c r="C53" t="s">
        <v>3</v>
      </c>
      <c r="D53">
        <v>1</v>
      </c>
      <c r="E53">
        <v>6</v>
      </c>
      <c r="F53">
        <v>5</v>
      </c>
      <c r="G53">
        <v>2</v>
      </c>
      <c r="H53">
        <v>3</v>
      </c>
      <c r="I53">
        <v>4</v>
      </c>
      <c r="J53">
        <v>3</v>
      </c>
      <c r="K53">
        <v>3</v>
      </c>
      <c r="L53">
        <v>3</v>
      </c>
      <c r="M53">
        <v>3</v>
      </c>
      <c r="N53">
        <v>2</v>
      </c>
      <c r="O53">
        <v>1</v>
      </c>
      <c r="P53">
        <v>1</v>
      </c>
      <c r="Q53">
        <v>0</v>
      </c>
      <c r="R53">
        <v>1</v>
      </c>
      <c r="S53">
        <v>5</v>
      </c>
      <c r="U53">
        <f>SUMPRODUCT(D49:S49, D53:S53) / SUM(D53:S53)</f>
        <v>7.4186046511627906</v>
      </c>
      <c r="V53">
        <f>SUM(D53:S53)</f>
        <v>43</v>
      </c>
    </row>
    <row r="54" spans="1:22" x14ac:dyDescent="0.35">
      <c r="B54" t="s">
        <v>31</v>
      </c>
      <c r="C54" t="s">
        <v>0</v>
      </c>
      <c r="D54">
        <v>0</v>
      </c>
      <c r="E54">
        <v>3</v>
      </c>
      <c r="F54">
        <v>6</v>
      </c>
      <c r="G54">
        <v>5</v>
      </c>
      <c r="H54">
        <v>10</v>
      </c>
      <c r="I54">
        <v>7</v>
      </c>
      <c r="J54">
        <v>11</v>
      </c>
      <c r="K54">
        <v>10</v>
      </c>
      <c r="L54">
        <v>6</v>
      </c>
      <c r="M54">
        <v>3</v>
      </c>
      <c r="N54">
        <v>9</v>
      </c>
      <c r="O54">
        <v>9</v>
      </c>
      <c r="P54">
        <v>2</v>
      </c>
      <c r="Q54">
        <v>3</v>
      </c>
      <c r="R54">
        <v>0</v>
      </c>
      <c r="S54">
        <v>0</v>
      </c>
      <c r="U54">
        <f>SUMPRODUCT(D49:S49, D54:S54) / SUM(D54:S54)</f>
        <v>7.7619047619047619</v>
      </c>
      <c r="V54">
        <f>SUM(D54:S54)</f>
        <v>84</v>
      </c>
    </row>
    <row r="56" spans="1:22" x14ac:dyDescent="0.35">
      <c r="A56" s="6" t="s">
        <v>37</v>
      </c>
      <c r="B56" s="6" t="s">
        <v>60</v>
      </c>
      <c r="S56" t="s">
        <v>74</v>
      </c>
    </row>
    <row r="57" spans="1:22" x14ac:dyDescent="0.35">
      <c r="A57" t="s">
        <v>64</v>
      </c>
      <c r="B57" t="s">
        <v>34</v>
      </c>
      <c r="C57" t="s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5</v>
      </c>
      <c r="K57">
        <v>3</v>
      </c>
      <c r="L57">
        <v>13</v>
      </c>
      <c r="M57">
        <v>19</v>
      </c>
      <c r="N57">
        <v>17</v>
      </c>
      <c r="O57">
        <v>12</v>
      </c>
      <c r="P57">
        <v>23</v>
      </c>
      <c r="Q57">
        <v>5</v>
      </c>
      <c r="R57">
        <v>7</v>
      </c>
      <c r="S57">
        <v>3</v>
      </c>
      <c r="U57">
        <f>SUMPRODUCT(D49:S49, D57:S57) / SUM(D57:S57)</f>
        <v>11.342592592592593</v>
      </c>
      <c r="V57">
        <f>SUM(D57:S57)</f>
        <v>108</v>
      </c>
    </row>
    <row r="58" spans="1:22" x14ac:dyDescent="0.35">
      <c r="B58" t="s">
        <v>33</v>
      </c>
      <c r="C58" t="s">
        <v>3</v>
      </c>
      <c r="D58">
        <v>11</v>
      </c>
      <c r="E58">
        <v>0</v>
      </c>
      <c r="F58">
        <v>8</v>
      </c>
      <c r="G58">
        <v>3</v>
      </c>
      <c r="H58">
        <v>6</v>
      </c>
      <c r="I58">
        <v>4</v>
      </c>
      <c r="J58">
        <v>8</v>
      </c>
      <c r="K58">
        <v>8</v>
      </c>
      <c r="L58">
        <v>6</v>
      </c>
      <c r="M58">
        <v>7</v>
      </c>
      <c r="N58">
        <v>4</v>
      </c>
      <c r="O58">
        <v>4</v>
      </c>
      <c r="P58">
        <v>2</v>
      </c>
      <c r="Q58">
        <v>4</v>
      </c>
      <c r="R58">
        <v>0</v>
      </c>
      <c r="S58">
        <v>0</v>
      </c>
      <c r="U58">
        <f>SUMPRODUCT(D49:S49, D58:S58) / SUM(D58:S58)</f>
        <v>6.92</v>
      </c>
      <c r="V58">
        <f>SUM(D58:S58)</f>
        <v>75</v>
      </c>
    </row>
    <row r="59" spans="1:22" x14ac:dyDescent="0.35">
      <c r="B59" t="s">
        <v>32</v>
      </c>
      <c r="C59" t="s">
        <v>3</v>
      </c>
      <c r="D59">
        <v>11</v>
      </c>
      <c r="E59">
        <v>14</v>
      </c>
      <c r="F59">
        <v>25</v>
      </c>
      <c r="G59">
        <v>1</v>
      </c>
      <c r="H59">
        <v>9</v>
      </c>
      <c r="I59">
        <v>16</v>
      </c>
      <c r="J59">
        <v>5</v>
      </c>
      <c r="K59">
        <v>4</v>
      </c>
      <c r="L59">
        <v>2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U59">
        <f>SUMPRODUCT(D49:S49, D59:S59) / SUM(D59:S59)</f>
        <v>4.3296703296703294</v>
      </c>
      <c r="V59">
        <f>SUM(D59:S59)</f>
        <v>91</v>
      </c>
    </row>
    <row r="60" spans="1:22" s="3" customFormat="1" x14ac:dyDescent="0.35">
      <c r="B60" s="3" t="s">
        <v>31</v>
      </c>
      <c r="C60" s="3" t="s">
        <v>0</v>
      </c>
      <c r="D60" s="3">
        <v>0</v>
      </c>
      <c r="E60" s="3">
        <v>3</v>
      </c>
      <c r="F60" s="3">
        <v>5</v>
      </c>
      <c r="G60" s="3">
        <v>5</v>
      </c>
      <c r="H60" s="3">
        <v>10</v>
      </c>
      <c r="I60" s="3">
        <v>7</v>
      </c>
      <c r="J60" s="3">
        <v>7</v>
      </c>
      <c r="K60" s="3">
        <v>12</v>
      </c>
      <c r="L60" s="3">
        <v>9</v>
      </c>
      <c r="M60" s="3">
        <v>13</v>
      </c>
      <c r="N60" s="3">
        <v>14</v>
      </c>
      <c r="O60" s="3">
        <v>5</v>
      </c>
      <c r="P60" s="3">
        <v>2</v>
      </c>
      <c r="Q60" s="3">
        <v>0</v>
      </c>
      <c r="R60" s="3">
        <v>0</v>
      </c>
      <c r="S60" s="3">
        <v>0</v>
      </c>
      <c r="U60" s="3">
        <f>SUMPRODUCT(D49:S49, D60:S60) / SUM(D60:S60)</f>
        <v>7.9239130434782608</v>
      </c>
      <c r="V60" s="3">
        <f>SUM(D60:S60)</f>
        <v>92</v>
      </c>
    </row>
    <row r="61" spans="1:22" x14ac:dyDescent="0.35">
      <c r="A61" s="6" t="s">
        <v>36</v>
      </c>
      <c r="B61" s="6" t="s">
        <v>57</v>
      </c>
    </row>
    <row r="62" spans="1:22" x14ac:dyDescent="0.35">
      <c r="A62" t="s">
        <v>73</v>
      </c>
      <c r="B62" t="s">
        <v>34</v>
      </c>
      <c r="C62" t="s">
        <v>0</v>
      </c>
      <c r="D62">
        <v>0</v>
      </c>
      <c r="E62">
        <v>1</v>
      </c>
      <c r="F62">
        <v>0</v>
      </c>
      <c r="G62">
        <v>6</v>
      </c>
      <c r="H62">
        <v>1</v>
      </c>
      <c r="I62">
        <v>1</v>
      </c>
      <c r="J62">
        <v>3</v>
      </c>
      <c r="K62">
        <v>5</v>
      </c>
      <c r="L62">
        <v>10</v>
      </c>
      <c r="M62">
        <v>13</v>
      </c>
      <c r="N62">
        <v>11</v>
      </c>
      <c r="O62">
        <v>6</v>
      </c>
      <c r="P62">
        <v>2</v>
      </c>
      <c r="Q62">
        <v>6</v>
      </c>
      <c r="R62">
        <v>21</v>
      </c>
      <c r="S62">
        <v>15</v>
      </c>
      <c r="U62">
        <f>SUMPRODUCT(D$1:S$1, D62:S62) / SUM(D62:S62)</f>
        <v>11.643564356435643</v>
      </c>
      <c r="V62">
        <f>SUM(D62:S62)</f>
        <v>101</v>
      </c>
    </row>
    <row r="63" spans="1:22" x14ac:dyDescent="0.35">
      <c r="B63" t="s">
        <v>33</v>
      </c>
      <c r="C63" t="s">
        <v>3</v>
      </c>
      <c r="D63">
        <v>4</v>
      </c>
      <c r="E63">
        <v>4</v>
      </c>
      <c r="F63">
        <v>2</v>
      </c>
      <c r="G63">
        <v>0</v>
      </c>
      <c r="H63">
        <v>0</v>
      </c>
      <c r="I63">
        <v>2</v>
      </c>
      <c r="J63">
        <v>8</v>
      </c>
      <c r="K63">
        <v>10</v>
      </c>
      <c r="L63">
        <v>6</v>
      </c>
      <c r="M63">
        <v>8</v>
      </c>
      <c r="N63">
        <v>6</v>
      </c>
      <c r="O63">
        <v>10</v>
      </c>
      <c r="P63">
        <v>5</v>
      </c>
      <c r="Q63">
        <v>8</v>
      </c>
      <c r="R63">
        <v>4</v>
      </c>
      <c r="S63">
        <v>4</v>
      </c>
      <c r="U63">
        <f>SUMPRODUCT(D$1:S$1, D63:S63) / SUM(D63:S63)</f>
        <v>9.716049382716049</v>
      </c>
      <c r="V63">
        <f>SUM(D63:S63)</f>
        <v>81</v>
      </c>
    </row>
    <row r="64" spans="1:22" x14ac:dyDescent="0.35">
      <c r="B64" t="s">
        <v>32</v>
      </c>
      <c r="C64" t="s">
        <v>3</v>
      </c>
      <c r="D64">
        <v>6</v>
      </c>
      <c r="E64">
        <v>4</v>
      </c>
      <c r="F64">
        <v>0</v>
      </c>
      <c r="G64">
        <v>10</v>
      </c>
      <c r="H64">
        <v>5</v>
      </c>
      <c r="I64">
        <v>6</v>
      </c>
      <c r="J64">
        <v>6</v>
      </c>
      <c r="K64">
        <v>11</v>
      </c>
      <c r="L64">
        <v>5</v>
      </c>
      <c r="M64">
        <v>4</v>
      </c>
      <c r="N64">
        <v>1</v>
      </c>
      <c r="O64">
        <v>7</v>
      </c>
      <c r="P64">
        <v>2</v>
      </c>
      <c r="Q64">
        <v>3</v>
      </c>
      <c r="R64">
        <v>0</v>
      </c>
      <c r="S64">
        <v>0</v>
      </c>
      <c r="U64">
        <f>SUMPRODUCT(D$1:S$1, D64:S64) / SUM(D64:S64)</f>
        <v>7.0428571428571427</v>
      </c>
      <c r="V64">
        <f>SUM(D64:S64)</f>
        <v>70</v>
      </c>
    </row>
    <row r="65" spans="1:22" x14ac:dyDescent="0.35">
      <c r="B65" t="s">
        <v>31</v>
      </c>
      <c r="C65" t="s">
        <v>0</v>
      </c>
      <c r="D65">
        <v>2</v>
      </c>
      <c r="E65">
        <v>4</v>
      </c>
      <c r="F65">
        <v>4</v>
      </c>
      <c r="G65">
        <v>2</v>
      </c>
      <c r="H65">
        <v>11</v>
      </c>
      <c r="I65">
        <v>1</v>
      </c>
      <c r="J65">
        <v>0</v>
      </c>
      <c r="K65">
        <v>11</v>
      </c>
      <c r="L65">
        <v>6</v>
      </c>
      <c r="M65">
        <v>5</v>
      </c>
      <c r="N65">
        <v>4</v>
      </c>
      <c r="O65">
        <v>8</v>
      </c>
      <c r="P65">
        <v>0</v>
      </c>
      <c r="Q65">
        <v>0</v>
      </c>
      <c r="R65">
        <v>0</v>
      </c>
      <c r="S65">
        <v>0</v>
      </c>
      <c r="U65">
        <f>SUMPRODUCT(D$1:S$1, D65:S65) / SUM(D65:S65)</f>
        <v>7.2931034482758621</v>
      </c>
      <c r="V65">
        <f>SUM(D65:S65)</f>
        <v>58</v>
      </c>
    </row>
    <row r="67" spans="1:22" x14ac:dyDescent="0.35">
      <c r="A67" s="6" t="s">
        <v>35</v>
      </c>
      <c r="B67" s="6" t="s">
        <v>58</v>
      </c>
    </row>
    <row r="68" spans="1:22" x14ac:dyDescent="0.35">
      <c r="A68" t="s">
        <v>72</v>
      </c>
      <c r="B68" t="s">
        <v>34</v>
      </c>
      <c r="C68" t="s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3</v>
      </c>
      <c r="J68">
        <v>3</v>
      </c>
      <c r="K68">
        <v>7</v>
      </c>
      <c r="L68">
        <v>14</v>
      </c>
      <c r="M68">
        <v>17</v>
      </c>
      <c r="N68">
        <v>21</v>
      </c>
      <c r="O68">
        <v>6</v>
      </c>
      <c r="P68">
        <v>22</v>
      </c>
      <c r="Q68">
        <v>5</v>
      </c>
      <c r="R68">
        <v>10</v>
      </c>
      <c r="S68">
        <v>0</v>
      </c>
      <c r="U68">
        <f>SUMPRODUCT(D$1:S$1, D68:S68) / SUM(D68:S68)</f>
        <v>10.981818181818182</v>
      </c>
      <c r="V68">
        <f>SUM(D68:S68)</f>
        <v>110</v>
      </c>
    </row>
    <row r="69" spans="1:22" x14ac:dyDescent="0.35">
      <c r="B69" t="s">
        <v>33</v>
      </c>
      <c r="C69" t="s">
        <v>3</v>
      </c>
      <c r="D69">
        <v>29</v>
      </c>
      <c r="E69">
        <v>11</v>
      </c>
      <c r="F69">
        <v>4</v>
      </c>
      <c r="G69">
        <v>3</v>
      </c>
      <c r="H69">
        <v>7</v>
      </c>
      <c r="I69">
        <v>8</v>
      </c>
      <c r="J69">
        <v>4</v>
      </c>
      <c r="K69">
        <v>7</v>
      </c>
      <c r="L69">
        <v>6</v>
      </c>
      <c r="M69">
        <v>1</v>
      </c>
      <c r="N69">
        <v>2</v>
      </c>
      <c r="O69">
        <v>5</v>
      </c>
      <c r="P69">
        <v>1</v>
      </c>
      <c r="Q69">
        <v>2</v>
      </c>
      <c r="R69">
        <v>0</v>
      </c>
      <c r="S69">
        <v>0</v>
      </c>
      <c r="U69">
        <f>SUMPRODUCT(D$1:S$1, D69:S69) / SUM(D69:S69)</f>
        <v>4.7666666666666666</v>
      </c>
      <c r="V69">
        <f>SUM(D69:S69)</f>
        <v>90</v>
      </c>
    </row>
    <row r="70" spans="1:22" x14ac:dyDescent="0.35">
      <c r="B70" t="s">
        <v>32</v>
      </c>
      <c r="C70" t="s">
        <v>3</v>
      </c>
      <c r="D70">
        <v>18</v>
      </c>
      <c r="E70">
        <v>14</v>
      </c>
      <c r="F70">
        <v>18</v>
      </c>
      <c r="G70">
        <v>3</v>
      </c>
      <c r="H70">
        <v>14</v>
      </c>
      <c r="I70">
        <v>14</v>
      </c>
      <c r="J70">
        <v>6</v>
      </c>
      <c r="K70">
        <v>8</v>
      </c>
      <c r="L70">
        <v>10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0</v>
      </c>
      <c r="U70">
        <f>SUMPRODUCT(D$1:S$1, D70:S70) / SUM(D70:S70)</f>
        <v>4.7155963302752291</v>
      </c>
      <c r="V70">
        <f>SUM(D70:S70)</f>
        <v>109</v>
      </c>
    </row>
    <row r="71" spans="1:22" x14ac:dyDescent="0.35">
      <c r="B71" t="s">
        <v>31</v>
      </c>
      <c r="C71" t="s">
        <v>0</v>
      </c>
      <c r="D71">
        <v>1</v>
      </c>
      <c r="E71">
        <v>10</v>
      </c>
      <c r="F71">
        <v>7</v>
      </c>
      <c r="G71">
        <v>6</v>
      </c>
      <c r="H71">
        <v>2</v>
      </c>
      <c r="I71">
        <v>2</v>
      </c>
      <c r="J71">
        <v>0</v>
      </c>
      <c r="K71">
        <v>12</v>
      </c>
      <c r="L71">
        <v>8</v>
      </c>
      <c r="M71">
        <v>3</v>
      </c>
      <c r="N71">
        <v>1</v>
      </c>
      <c r="O71">
        <v>1</v>
      </c>
      <c r="P71">
        <v>0</v>
      </c>
      <c r="Q71">
        <v>1</v>
      </c>
      <c r="R71">
        <v>0</v>
      </c>
      <c r="S71">
        <v>0</v>
      </c>
      <c r="U71">
        <f>SUMPRODUCT(D$1:S$1, D71:S71) / SUM(D71:S71)</f>
        <v>5.9814814814814818</v>
      </c>
      <c r="V71">
        <f>SUM(D71:S71)</f>
        <v>54</v>
      </c>
    </row>
    <row r="72" spans="1:22" ht="15" thickBot="1" x14ac:dyDescent="0.4"/>
    <row r="73" spans="1:22" s="7" customFormat="1" ht="15.5" thickTop="1" thickBot="1" x14ac:dyDescent="0.4">
      <c r="A73" s="8" t="s">
        <v>71</v>
      </c>
      <c r="B73" s="8" t="s">
        <v>39</v>
      </c>
      <c r="C73" s="8" t="s">
        <v>9</v>
      </c>
      <c r="D73" s="8">
        <v>1</v>
      </c>
      <c r="E73" s="8">
        <v>2</v>
      </c>
      <c r="F73" s="8">
        <v>3</v>
      </c>
      <c r="G73" s="8">
        <v>4</v>
      </c>
      <c r="H73" s="8">
        <v>5</v>
      </c>
      <c r="I73" s="8">
        <v>6</v>
      </c>
      <c r="J73" s="8">
        <v>7</v>
      </c>
      <c r="K73" s="8">
        <v>8</v>
      </c>
      <c r="L73" s="8">
        <v>9</v>
      </c>
      <c r="M73" s="8">
        <v>10</v>
      </c>
      <c r="N73" s="8">
        <v>11</v>
      </c>
      <c r="O73" s="8">
        <v>12</v>
      </c>
      <c r="P73" s="8">
        <v>13</v>
      </c>
      <c r="Q73" s="8">
        <v>14</v>
      </c>
      <c r="R73" s="8">
        <v>15</v>
      </c>
      <c r="S73" s="8">
        <v>16</v>
      </c>
    </row>
    <row r="74" spans="1:22" ht="15" thickTop="1" x14ac:dyDescent="0.35">
      <c r="A74" s="6" t="s">
        <v>38</v>
      </c>
      <c r="B74" s="6" t="s">
        <v>60</v>
      </c>
    </row>
    <row r="75" spans="1:22" x14ac:dyDescent="0.35">
      <c r="A75" t="s">
        <v>70</v>
      </c>
      <c r="B75" t="s">
        <v>34</v>
      </c>
      <c r="C75" t="s">
        <v>3</v>
      </c>
      <c r="D75">
        <v>0</v>
      </c>
      <c r="E75">
        <v>0</v>
      </c>
      <c r="F75">
        <v>0</v>
      </c>
      <c r="G75">
        <v>0</v>
      </c>
      <c r="H75">
        <v>3</v>
      </c>
      <c r="I75">
        <v>1</v>
      </c>
      <c r="J75">
        <v>1</v>
      </c>
      <c r="K75">
        <v>5</v>
      </c>
      <c r="L75">
        <v>5</v>
      </c>
      <c r="M75">
        <v>7</v>
      </c>
      <c r="N75">
        <v>5</v>
      </c>
      <c r="O75">
        <v>3</v>
      </c>
      <c r="P75">
        <v>4</v>
      </c>
      <c r="Q75">
        <v>6</v>
      </c>
      <c r="R75">
        <v>16</v>
      </c>
      <c r="S75">
        <v>14</v>
      </c>
      <c r="U75">
        <f>SUMPRODUCT(D$1:S$1, D75:S75) / SUM(D75:S75)</f>
        <v>12.485714285714286</v>
      </c>
      <c r="V75">
        <f>SUM(D75:S75)</f>
        <v>70</v>
      </c>
    </row>
    <row r="76" spans="1:22" x14ac:dyDescent="0.35">
      <c r="B76" t="s">
        <v>33</v>
      </c>
      <c r="C76" t="s">
        <v>0</v>
      </c>
      <c r="D76">
        <v>7</v>
      </c>
      <c r="E76">
        <v>3</v>
      </c>
      <c r="F76">
        <v>1</v>
      </c>
      <c r="G76">
        <v>1</v>
      </c>
      <c r="H76">
        <v>1</v>
      </c>
      <c r="I76">
        <v>5</v>
      </c>
      <c r="J76">
        <v>10</v>
      </c>
      <c r="K76">
        <v>7</v>
      </c>
      <c r="L76">
        <v>7</v>
      </c>
      <c r="M76">
        <v>6</v>
      </c>
      <c r="N76">
        <v>8</v>
      </c>
      <c r="O76">
        <v>11</v>
      </c>
      <c r="P76">
        <v>7</v>
      </c>
      <c r="Q76">
        <v>8</v>
      </c>
      <c r="R76">
        <v>8</v>
      </c>
      <c r="S76">
        <v>5</v>
      </c>
      <c r="U76">
        <f>SUMPRODUCT(D$1:S$1, D76:S76) / SUM(D76:S76)</f>
        <v>9.7578947368421058</v>
      </c>
      <c r="V76">
        <f>SUM(D76:S76)</f>
        <v>95</v>
      </c>
    </row>
    <row r="77" spans="1:22" x14ac:dyDescent="0.35">
      <c r="B77" t="s">
        <v>32</v>
      </c>
      <c r="C77" t="s">
        <v>0</v>
      </c>
      <c r="D77">
        <v>0</v>
      </c>
      <c r="E77">
        <v>5</v>
      </c>
      <c r="F77">
        <v>5</v>
      </c>
      <c r="G77">
        <v>3</v>
      </c>
      <c r="H77">
        <v>4</v>
      </c>
      <c r="I77">
        <v>7</v>
      </c>
      <c r="J77">
        <v>6</v>
      </c>
      <c r="K77">
        <v>9</v>
      </c>
      <c r="L77">
        <v>14</v>
      </c>
      <c r="M77">
        <v>7</v>
      </c>
      <c r="N77">
        <v>5</v>
      </c>
      <c r="O77">
        <v>5</v>
      </c>
      <c r="P77">
        <v>1</v>
      </c>
      <c r="Q77">
        <v>1</v>
      </c>
      <c r="R77">
        <v>4</v>
      </c>
      <c r="S77">
        <v>4</v>
      </c>
      <c r="U77">
        <f>SUMPRODUCT(D$1:S$1, D77:S77) / SUM(D77:S77)</f>
        <v>8.4375</v>
      </c>
      <c r="V77">
        <f>SUM(D77:S77)</f>
        <v>80</v>
      </c>
    </row>
    <row r="78" spans="1:22" x14ac:dyDescent="0.35">
      <c r="B78" t="s">
        <v>31</v>
      </c>
      <c r="C78" t="s">
        <v>3</v>
      </c>
      <c r="D78">
        <v>0</v>
      </c>
      <c r="E78">
        <v>5</v>
      </c>
      <c r="F78">
        <v>0</v>
      </c>
      <c r="G78">
        <v>4</v>
      </c>
      <c r="H78">
        <v>4</v>
      </c>
      <c r="I78">
        <v>2</v>
      </c>
      <c r="J78">
        <v>1</v>
      </c>
      <c r="K78">
        <v>7</v>
      </c>
      <c r="L78">
        <v>5</v>
      </c>
      <c r="M78">
        <v>3</v>
      </c>
      <c r="N78">
        <v>6</v>
      </c>
      <c r="O78">
        <v>4</v>
      </c>
      <c r="P78">
        <v>1</v>
      </c>
      <c r="Q78">
        <v>2</v>
      </c>
      <c r="R78">
        <v>3</v>
      </c>
      <c r="S78">
        <v>3</v>
      </c>
      <c r="U78">
        <f>SUMPRODUCT(D$1:S$1, D78:S78) / SUM(D78:S78)</f>
        <v>8.8800000000000008</v>
      </c>
      <c r="V78">
        <f>SUM(D78:S78)</f>
        <v>50</v>
      </c>
    </row>
    <row r="80" spans="1:22" x14ac:dyDescent="0.35">
      <c r="A80" s="6" t="s">
        <v>37</v>
      </c>
      <c r="B80" s="6" t="s">
        <v>59</v>
      </c>
    </row>
    <row r="81" spans="1:22" x14ac:dyDescent="0.35">
      <c r="A81" t="s">
        <v>69</v>
      </c>
      <c r="B81" t="s">
        <v>34</v>
      </c>
      <c r="C81" t="s">
        <v>3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2</v>
      </c>
      <c r="K81">
        <v>2</v>
      </c>
      <c r="L81">
        <v>5</v>
      </c>
      <c r="M81">
        <v>5</v>
      </c>
      <c r="N81">
        <v>23</v>
      </c>
      <c r="O81">
        <v>17</v>
      </c>
      <c r="P81">
        <v>28</v>
      </c>
      <c r="Q81">
        <v>9</v>
      </c>
      <c r="R81">
        <v>6</v>
      </c>
      <c r="S81">
        <v>0</v>
      </c>
      <c r="U81">
        <f>SUMPRODUCT(D$1:S$1, D81:S81) / SUM(D81:S81)</f>
        <v>11.908163265306122</v>
      </c>
      <c r="V81">
        <f>SUM(D81:S81)</f>
        <v>98</v>
      </c>
    </row>
    <row r="82" spans="1:22" x14ac:dyDescent="0.35">
      <c r="B82" t="s">
        <v>33</v>
      </c>
      <c r="C82" t="s">
        <v>0</v>
      </c>
      <c r="D82">
        <v>2</v>
      </c>
      <c r="E82">
        <v>1</v>
      </c>
      <c r="F82">
        <v>2</v>
      </c>
      <c r="G82">
        <v>6</v>
      </c>
      <c r="H82">
        <v>10</v>
      </c>
      <c r="I82">
        <v>10</v>
      </c>
      <c r="J82">
        <v>12</v>
      </c>
      <c r="K82">
        <v>12</v>
      </c>
      <c r="L82">
        <v>7</v>
      </c>
      <c r="M82">
        <v>7</v>
      </c>
      <c r="N82">
        <v>3</v>
      </c>
      <c r="O82">
        <v>2</v>
      </c>
      <c r="P82">
        <v>4</v>
      </c>
      <c r="Q82">
        <v>4</v>
      </c>
      <c r="R82">
        <v>3</v>
      </c>
      <c r="S82">
        <v>1</v>
      </c>
      <c r="U82">
        <f>SUMPRODUCT(D$1:S$1, D82:S82) / SUM(D82:S82)</f>
        <v>7.941860465116279</v>
      </c>
      <c r="V82">
        <f>SUM(D82:S82)</f>
        <v>86</v>
      </c>
    </row>
    <row r="83" spans="1:22" x14ac:dyDescent="0.35">
      <c r="B83" t="s">
        <v>32</v>
      </c>
      <c r="C83" t="s">
        <v>0</v>
      </c>
      <c r="D83">
        <v>18</v>
      </c>
      <c r="E83">
        <v>40</v>
      </c>
      <c r="F83">
        <v>17</v>
      </c>
      <c r="G83">
        <v>7</v>
      </c>
      <c r="H83">
        <v>12</v>
      </c>
      <c r="I83">
        <v>8</v>
      </c>
      <c r="J83">
        <v>3</v>
      </c>
      <c r="K83">
        <v>2</v>
      </c>
      <c r="L83">
        <v>1</v>
      </c>
      <c r="M83">
        <v>0</v>
      </c>
      <c r="N83">
        <v>3</v>
      </c>
      <c r="O83">
        <v>1</v>
      </c>
      <c r="P83">
        <v>1</v>
      </c>
      <c r="Q83">
        <v>0</v>
      </c>
      <c r="R83">
        <v>0</v>
      </c>
      <c r="S83">
        <v>1</v>
      </c>
      <c r="U83">
        <f>SUMPRODUCT(D$1:S$1, D83:S83) / SUM(D83:S83)</f>
        <v>3.5526315789473686</v>
      </c>
      <c r="V83">
        <f>SUM(D83:S83)</f>
        <v>114</v>
      </c>
    </row>
    <row r="84" spans="1:22" s="3" customFormat="1" x14ac:dyDescent="0.35">
      <c r="B84" s="3" t="s">
        <v>31</v>
      </c>
      <c r="C84" s="3" t="s">
        <v>3</v>
      </c>
      <c r="D84" s="3">
        <v>1</v>
      </c>
      <c r="E84" s="3">
        <v>8</v>
      </c>
      <c r="F84" s="3">
        <v>3</v>
      </c>
      <c r="G84" s="3">
        <v>3</v>
      </c>
      <c r="H84" s="3">
        <v>6</v>
      </c>
      <c r="I84" s="3">
        <v>10</v>
      </c>
      <c r="J84" s="3">
        <v>4</v>
      </c>
      <c r="K84" s="3">
        <v>7</v>
      </c>
      <c r="L84" s="3">
        <v>15</v>
      </c>
      <c r="M84" s="3">
        <v>7</v>
      </c>
      <c r="N84" s="3">
        <v>14</v>
      </c>
      <c r="O84" s="3">
        <v>7</v>
      </c>
      <c r="P84" s="3">
        <v>3</v>
      </c>
      <c r="Q84" s="3">
        <v>4</v>
      </c>
      <c r="R84" s="3">
        <v>0</v>
      </c>
      <c r="S84" s="3">
        <v>1</v>
      </c>
      <c r="U84" s="3">
        <f>SUMPRODUCT(D$1:S$1, D84:S84) / SUM(D84:S84)</f>
        <v>8.236559139784946</v>
      </c>
      <c r="V84" s="3">
        <f>SUM(D84:S84)</f>
        <v>93</v>
      </c>
    </row>
    <row r="85" spans="1:22" x14ac:dyDescent="0.35">
      <c r="A85" s="6" t="s">
        <v>36</v>
      </c>
      <c r="B85" s="6" t="s">
        <v>58</v>
      </c>
    </row>
    <row r="86" spans="1:22" x14ac:dyDescent="0.35">
      <c r="A86" t="s">
        <v>68</v>
      </c>
      <c r="B86" t="s">
        <v>34</v>
      </c>
      <c r="C86" t="s">
        <v>3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2</v>
      </c>
      <c r="K86">
        <v>2</v>
      </c>
      <c r="L86">
        <v>5</v>
      </c>
      <c r="M86">
        <v>2</v>
      </c>
      <c r="N86">
        <v>4</v>
      </c>
      <c r="O86">
        <v>4</v>
      </c>
      <c r="P86">
        <v>6</v>
      </c>
      <c r="Q86">
        <v>3</v>
      </c>
      <c r="R86">
        <v>17</v>
      </c>
      <c r="S86">
        <v>13</v>
      </c>
      <c r="U86">
        <f>SUMPRODUCT(D$1:S$1, D86:S86) / SUM(D86:S86)</f>
        <v>12.983333333333333</v>
      </c>
      <c r="V86">
        <f>SUM(D86:S86)</f>
        <v>60</v>
      </c>
    </row>
    <row r="87" spans="1:22" x14ac:dyDescent="0.35">
      <c r="B87" t="s">
        <v>33</v>
      </c>
      <c r="C87" t="s">
        <v>0</v>
      </c>
      <c r="D87">
        <v>3</v>
      </c>
      <c r="E87">
        <v>3</v>
      </c>
      <c r="F87">
        <v>6</v>
      </c>
      <c r="G87">
        <v>1</v>
      </c>
      <c r="H87">
        <v>3</v>
      </c>
      <c r="I87">
        <v>3</v>
      </c>
      <c r="J87">
        <v>13</v>
      </c>
      <c r="K87">
        <v>10</v>
      </c>
      <c r="L87">
        <v>4</v>
      </c>
      <c r="M87">
        <v>7</v>
      </c>
      <c r="N87">
        <v>8</v>
      </c>
      <c r="O87">
        <v>9</v>
      </c>
      <c r="P87">
        <v>5</v>
      </c>
      <c r="Q87">
        <v>4</v>
      </c>
      <c r="R87">
        <v>5</v>
      </c>
      <c r="S87">
        <v>3</v>
      </c>
      <c r="U87">
        <f>SUMPRODUCT(D$1:S$1, D87:S87) / SUM(D87:S87)</f>
        <v>8.9770114942528743</v>
      </c>
      <c r="V87">
        <f>SUM(D87:S87)</f>
        <v>87</v>
      </c>
    </row>
    <row r="88" spans="1:22" x14ac:dyDescent="0.35">
      <c r="B88" t="s">
        <v>32</v>
      </c>
      <c r="C88" t="s">
        <v>0</v>
      </c>
      <c r="D88">
        <v>5</v>
      </c>
      <c r="E88">
        <v>8</v>
      </c>
      <c r="F88">
        <v>11</v>
      </c>
      <c r="G88">
        <v>4</v>
      </c>
      <c r="H88">
        <v>6</v>
      </c>
      <c r="I88">
        <v>18</v>
      </c>
      <c r="J88">
        <v>1</v>
      </c>
      <c r="K88">
        <v>15</v>
      </c>
      <c r="L88">
        <v>13</v>
      </c>
      <c r="M88">
        <v>4</v>
      </c>
      <c r="N88">
        <v>17</v>
      </c>
      <c r="O88">
        <v>2</v>
      </c>
      <c r="P88">
        <v>4</v>
      </c>
      <c r="Q88">
        <v>0</v>
      </c>
      <c r="R88">
        <v>1</v>
      </c>
      <c r="S88">
        <v>3</v>
      </c>
      <c r="U88">
        <f>SUMPRODUCT(D$1:S$1, D88:S88) / SUM(D88:S88)</f>
        <v>7.3035714285714288</v>
      </c>
      <c r="V88">
        <f>SUM(D88:S88)</f>
        <v>112</v>
      </c>
    </row>
    <row r="89" spans="1:22" x14ac:dyDescent="0.35">
      <c r="B89" t="s">
        <v>31</v>
      </c>
      <c r="C89" t="s">
        <v>3</v>
      </c>
      <c r="D89">
        <v>0</v>
      </c>
      <c r="E89">
        <v>3</v>
      </c>
      <c r="F89">
        <v>2</v>
      </c>
      <c r="G89">
        <v>3</v>
      </c>
      <c r="H89">
        <v>5</v>
      </c>
      <c r="I89">
        <v>0</v>
      </c>
      <c r="J89">
        <v>3</v>
      </c>
      <c r="K89">
        <v>8</v>
      </c>
      <c r="L89">
        <v>4</v>
      </c>
      <c r="M89">
        <v>4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U89">
        <f>SUMPRODUCT(D$1:S$1, D89:S89) / SUM(D89:S89)</f>
        <v>7.1714285714285717</v>
      </c>
      <c r="V89">
        <f>SUM(D89:S89)</f>
        <v>35</v>
      </c>
    </row>
    <row r="91" spans="1:22" x14ac:dyDescent="0.35">
      <c r="A91" s="6" t="s">
        <v>35</v>
      </c>
      <c r="B91" s="6" t="s">
        <v>57</v>
      </c>
    </row>
    <row r="92" spans="1:22" x14ac:dyDescent="0.35">
      <c r="A92" t="s">
        <v>67</v>
      </c>
      <c r="B92" t="s">
        <v>34</v>
      </c>
      <c r="C92" t="s">
        <v>3</v>
      </c>
      <c r="D92">
        <v>0</v>
      </c>
      <c r="E92">
        <v>0</v>
      </c>
      <c r="F92">
        <v>0</v>
      </c>
      <c r="G92">
        <v>1</v>
      </c>
      <c r="H92">
        <v>5</v>
      </c>
      <c r="I92">
        <v>8</v>
      </c>
      <c r="J92">
        <v>14</v>
      </c>
      <c r="K92">
        <v>13</v>
      </c>
      <c r="L92">
        <v>9</v>
      </c>
      <c r="M92">
        <v>5</v>
      </c>
      <c r="N92">
        <v>5</v>
      </c>
      <c r="O92">
        <v>0</v>
      </c>
      <c r="P92">
        <v>1</v>
      </c>
      <c r="Q92">
        <v>4</v>
      </c>
      <c r="R92">
        <v>14</v>
      </c>
      <c r="S92">
        <v>4</v>
      </c>
      <c r="U92">
        <f>SUMPRODUCT(D$1:S$1, D92:S92) / SUM(D92:S92)</f>
        <v>9.7349397590361448</v>
      </c>
      <c r="V92">
        <f>SUM(D92:S92)</f>
        <v>83</v>
      </c>
    </row>
    <row r="93" spans="1:22" x14ac:dyDescent="0.35">
      <c r="B93" t="s">
        <v>33</v>
      </c>
      <c r="C93" t="s">
        <v>0</v>
      </c>
      <c r="D93">
        <v>15</v>
      </c>
      <c r="E93">
        <v>13</v>
      </c>
      <c r="F93">
        <v>11</v>
      </c>
      <c r="G93">
        <v>13</v>
      </c>
      <c r="H93">
        <v>10</v>
      </c>
      <c r="I93">
        <v>7</v>
      </c>
      <c r="J93">
        <v>6</v>
      </c>
      <c r="K93">
        <v>7</v>
      </c>
      <c r="L93">
        <v>3</v>
      </c>
      <c r="M93">
        <v>4</v>
      </c>
      <c r="N93">
        <v>5</v>
      </c>
      <c r="O93">
        <v>1</v>
      </c>
      <c r="P93">
        <v>0</v>
      </c>
      <c r="Q93">
        <v>1</v>
      </c>
      <c r="R93">
        <v>15</v>
      </c>
      <c r="S93">
        <v>16</v>
      </c>
      <c r="U93">
        <f>SUMPRODUCT(D$1:S$1, D93:S93) / SUM(D93:S93)</f>
        <v>7.4409448818897639</v>
      </c>
      <c r="V93">
        <f>SUM(D93:S93)</f>
        <v>127</v>
      </c>
    </row>
    <row r="94" spans="1:22" x14ac:dyDescent="0.35">
      <c r="B94" t="s">
        <v>32</v>
      </c>
      <c r="C94" t="s">
        <v>0</v>
      </c>
      <c r="D94">
        <v>14</v>
      </c>
      <c r="E94">
        <v>15</v>
      </c>
      <c r="F94">
        <v>20</v>
      </c>
      <c r="G94">
        <v>5</v>
      </c>
      <c r="H94">
        <v>11</v>
      </c>
      <c r="I94">
        <v>22</v>
      </c>
      <c r="J94">
        <v>3</v>
      </c>
      <c r="K94">
        <v>10</v>
      </c>
      <c r="L94">
        <v>3</v>
      </c>
      <c r="M94">
        <v>1</v>
      </c>
      <c r="N94">
        <v>3</v>
      </c>
      <c r="O94">
        <v>2</v>
      </c>
      <c r="P94">
        <v>1</v>
      </c>
      <c r="Q94">
        <v>1</v>
      </c>
      <c r="R94">
        <v>0</v>
      </c>
      <c r="S94">
        <v>0</v>
      </c>
      <c r="U94">
        <f>SUMPRODUCT(D$1:S$1, D94:S94) / SUM(D94:S94)</f>
        <v>4.801801801801802</v>
      </c>
      <c r="V94">
        <f>SUM(D94:S94)</f>
        <v>111</v>
      </c>
    </row>
    <row r="95" spans="1:22" s="3" customFormat="1" x14ac:dyDescent="0.35">
      <c r="B95" s="3" t="s">
        <v>31</v>
      </c>
      <c r="C95" s="3" t="s">
        <v>3</v>
      </c>
      <c r="D95" s="3">
        <v>7</v>
      </c>
      <c r="E95" s="3">
        <v>15</v>
      </c>
      <c r="F95" s="3">
        <v>4</v>
      </c>
      <c r="G95" s="3">
        <v>9</v>
      </c>
      <c r="H95" s="3">
        <v>9</v>
      </c>
      <c r="I95" s="3">
        <v>5</v>
      </c>
      <c r="J95" s="3">
        <v>3</v>
      </c>
      <c r="K95" s="3">
        <v>12</v>
      </c>
      <c r="L95" s="3">
        <v>3</v>
      </c>
      <c r="M95" s="3">
        <v>5</v>
      </c>
      <c r="N95" s="3">
        <v>4</v>
      </c>
      <c r="O95" s="3">
        <v>3</v>
      </c>
      <c r="P95" s="3">
        <v>1</v>
      </c>
      <c r="Q95" s="3">
        <v>2</v>
      </c>
      <c r="R95" s="3">
        <v>0</v>
      </c>
      <c r="S95" s="3">
        <v>0</v>
      </c>
      <c r="U95" s="3">
        <f>SUMPRODUCT(D$1:S$1, D95:S95) / SUM(D95:S95)</f>
        <v>5.7926829268292686</v>
      </c>
      <c r="V95" s="3">
        <f>SUM(D95:S95)</f>
        <v>82</v>
      </c>
    </row>
    <row r="96" spans="1:22" ht="15" thickBot="1" x14ac:dyDescent="0.4"/>
    <row r="97" spans="1:22" s="7" customFormat="1" ht="15.5" thickTop="1" thickBot="1" x14ac:dyDescent="0.4">
      <c r="A97" s="8" t="s">
        <v>66</v>
      </c>
      <c r="B97" s="8" t="s">
        <v>39</v>
      </c>
      <c r="C97" s="8" t="s">
        <v>9</v>
      </c>
      <c r="D97" s="8">
        <v>1</v>
      </c>
      <c r="E97" s="8">
        <v>2</v>
      </c>
      <c r="F97" s="8">
        <v>3</v>
      </c>
      <c r="G97" s="8">
        <v>4</v>
      </c>
      <c r="H97" s="8">
        <v>5</v>
      </c>
      <c r="I97" s="8">
        <v>6</v>
      </c>
      <c r="J97" s="8">
        <v>7</v>
      </c>
      <c r="K97" s="8">
        <v>8</v>
      </c>
      <c r="L97" s="8">
        <v>9</v>
      </c>
      <c r="M97" s="8">
        <v>10</v>
      </c>
      <c r="N97" s="8">
        <v>11</v>
      </c>
      <c r="O97" s="8">
        <v>12</v>
      </c>
      <c r="P97" s="8">
        <v>13</v>
      </c>
      <c r="Q97" s="8">
        <v>14</v>
      </c>
      <c r="R97" s="8">
        <v>15</v>
      </c>
      <c r="S97" s="8">
        <v>16</v>
      </c>
    </row>
    <row r="98" spans="1:22" ht="15" thickTop="1" x14ac:dyDescent="0.35">
      <c r="A98" s="6" t="s">
        <v>38</v>
      </c>
      <c r="B98" s="6" t="s">
        <v>59</v>
      </c>
    </row>
    <row r="99" spans="1:22" x14ac:dyDescent="0.35">
      <c r="A99" t="s">
        <v>65</v>
      </c>
      <c r="B99" t="s">
        <v>34</v>
      </c>
      <c r="C99" t="s">
        <v>0</v>
      </c>
      <c r="D99">
        <v>0</v>
      </c>
      <c r="E99">
        <v>1</v>
      </c>
      <c r="F99">
        <v>0</v>
      </c>
      <c r="G99">
        <v>0</v>
      </c>
      <c r="H99">
        <v>3</v>
      </c>
      <c r="I99">
        <v>2</v>
      </c>
      <c r="J99">
        <v>5</v>
      </c>
      <c r="K99">
        <v>14</v>
      </c>
      <c r="L99">
        <v>9</v>
      </c>
      <c r="M99">
        <v>5</v>
      </c>
      <c r="N99">
        <v>10</v>
      </c>
      <c r="O99">
        <v>2</v>
      </c>
      <c r="P99">
        <v>0</v>
      </c>
      <c r="Q99">
        <v>5</v>
      </c>
      <c r="R99">
        <v>3</v>
      </c>
      <c r="S99">
        <v>1</v>
      </c>
      <c r="U99">
        <f>SUMPRODUCT(D$1:S$1, D99:S99) / SUM(D99:S99)</f>
        <v>9.5333333333333332</v>
      </c>
      <c r="V99">
        <f>SUM(D99:S99)</f>
        <v>60</v>
      </c>
    </row>
    <row r="100" spans="1:22" x14ac:dyDescent="0.35">
      <c r="B100" t="s">
        <v>33</v>
      </c>
      <c r="C100" t="s">
        <v>3</v>
      </c>
      <c r="D100">
        <v>2</v>
      </c>
      <c r="E100">
        <v>2</v>
      </c>
      <c r="F100">
        <v>0</v>
      </c>
      <c r="G100">
        <v>1</v>
      </c>
      <c r="H100">
        <v>0</v>
      </c>
      <c r="I100">
        <v>1</v>
      </c>
      <c r="J100">
        <v>9</v>
      </c>
      <c r="K100">
        <v>6</v>
      </c>
      <c r="L100">
        <v>4</v>
      </c>
      <c r="M100">
        <v>5</v>
      </c>
      <c r="N100">
        <v>0</v>
      </c>
      <c r="O100">
        <v>5</v>
      </c>
      <c r="P100">
        <v>5</v>
      </c>
      <c r="Q100">
        <v>5</v>
      </c>
      <c r="R100">
        <v>9</v>
      </c>
      <c r="S100">
        <v>11</v>
      </c>
      <c r="U100">
        <f>SUMPRODUCT(D$1:S$1, D100:S100) / SUM(D100:S100)</f>
        <v>11.061538461538461</v>
      </c>
      <c r="V100">
        <f>SUM(D100:S100)</f>
        <v>65</v>
      </c>
    </row>
    <row r="101" spans="1:22" x14ac:dyDescent="0.35">
      <c r="B101" t="s">
        <v>32</v>
      </c>
      <c r="C101" t="s">
        <v>3</v>
      </c>
      <c r="D101">
        <v>4</v>
      </c>
      <c r="E101">
        <v>6</v>
      </c>
      <c r="F101">
        <v>13</v>
      </c>
      <c r="G101">
        <v>4</v>
      </c>
      <c r="H101">
        <v>5</v>
      </c>
      <c r="I101">
        <v>9</v>
      </c>
      <c r="J101">
        <v>4</v>
      </c>
      <c r="K101">
        <v>6</v>
      </c>
      <c r="L101">
        <v>14</v>
      </c>
      <c r="M101">
        <v>3</v>
      </c>
      <c r="N101">
        <v>7</v>
      </c>
      <c r="O101">
        <v>1</v>
      </c>
      <c r="P101">
        <v>0</v>
      </c>
      <c r="Q101">
        <v>2</v>
      </c>
      <c r="R101">
        <v>1</v>
      </c>
      <c r="S101">
        <v>0</v>
      </c>
      <c r="U101">
        <f>SUMPRODUCT(D$1:S$1, D101:S101) / SUM(D101:S101)</f>
        <v>6.5063291139240507</v>
      </c>
      <c r="V101">
        <f>SUM(D101:S101)</f>
        <v>79</v>
      </c>
    </row>
    <row r="102" spans="1:22" x14ac:dyDescent="0.35">
      <c r="B102" t="s">
        <v>31</v>
      </c>
      <c r="C102" t="s">
        <v>0</v>
      </c>
      <c r="D102">
        <v>3</v>
      </c>
      <c r="E102">
        <v>6</v>
      </c>
      <c r="F102">
        <v>2</v>
      </c>
      <c r="G102">
        <v>12</v>
      </c>
      <c r="H102">
        <v>4</v>
      </c>
      <c r="I102">
        <v>10</v>
      </c>
      <c r="J102">
        <v>1</v>
      </c>
      <c r="K102">
        <v>13</v>
      </c>
      <c r="L102">
        <v>10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1</v>
      </c>
      <c r="S102">
        <v>0</v>
      </c>
      <c r="U102">
        <f>SUMPRODUCT(D$1:S$1, D102:S102) / SUM(D102:S102)</f>
        <v>7.0263157894736841</v>
      </c>
      <c r="V102">
        <f>SUM(D102:S102)</f>
        <v>76</v>
      </c>
    </row>
    <row r="104" spans="1:22" x14ac:dyDescent="0.35">
      <c r="A104" s="6" t="s">
        <v>37</v>
      </c>
      <c r="B104" s="6" t="s">
        <v>60</v>
      </c>
    </row>
    <row r="105" spans="1:22" x14ac:dyDescent="0.35">
      <c r="A105" t="s">
        <v>64</v>
      </c>
      <c r="B105" t="s">
        <v>34</v>
      </c>
      <c r="C105" t="s">
        <v>0</v>
      </c>
      <c r="D105">
        <v>1</v>
      </c>
      <c r="E105">
        <v>0</v>
      </c>
      <c r="F105">
        <v>0</v>
      </c>
      <c r="G105">
        <v>2</v>
      </c>
      <c r="H105">
        <v>1</v>
      </c>
      <c r="I105">
        <v>1</v>
      </c>
      <c r="J105">
        <v>1</v>
      </c>
      <c r="K105">
        <v>5</v>
      </c>
      <c r="L105">
        <v>3</v>
      </c>
      <c r="M105">
        <v>5</v>
      </c>
      <c r="N105">
        <v>6</v>
      </c>
      <c r="O105">
        <v>8</v>
      </c>
      <c r="P105">
        <v>9</v>
      </c>
      <c r="Q105">
        <v>11</v>
      </c>
      <c r="R105">
        <v>12</v>
      </c>
      <c r="S105">
        <v>13</v>
      </c>
      <c r="U105">
        <f>SUMPRODUCT(D$1:S$1, D105:S105) / SUM(D105:S105)</f>
        <v>12.371794871794872</v>
      </c>
      <c r="V105">
        <f>SUM(D105:S105)</f>
        <v>78</v>
      </c>
    </row>
    <row r="106" spans="1:22" x14ac:dyDescent="0.35">
      <c r="B106" t="s">
        <v>33</v>
      </c>
      <c r="C106" t="s">
        <v>3</v>
      </c>
      <c r="D106">
        <v>3</v>
      </c>
      <c r="E106">
        <v>5</v>
      </c>
      <c r="F106">
        <v>5</v>
      </c>
      <c r="G106">
        <v>1</v>
      </c>
      <c r="H106">
        <v>3</v>
      </c>
      <c r="I106">
        <v>2</v>
      </c>
      <c r="J106">
        <v>4</v>
      </c>
      <c r="K106">
        <v>2</v>
      </c>
      <c r="L106">
        <v>10</v>
      </c>
      <c r="M106">
        <v>5</v>
      </c>
      <c r="N106">
        <v>3</v>
      </c>
      <c r="O106">
        <v>8</v>
      </c>
      <c r="P106">
        <v>4</v>
      </c>
      <c r="Q106">
        <v>5</v>
      </c>
      <c r="R106">
        <v>5</v>
      </c>
      <c r="S106">
        <v>6</v>
      </c>
      <c r="U106">
        <f>SUMPRODUCT(D$1:S$1, D106:S106) / SUM(D106:S106)</f>
        <v>9.3661971830985919</v>
      </c>
      <c r="V106">
        <f>SUM(D106:S106)</f>
        <v>71</v>
      </c>
    </row>
    <row r="107" spans="1:22" x14ac:dyDescent="0.35">
      <c r="B107" t="s">
        <v>32</v>
      </c>
      <c r="C107" t="s">
        <v>3</v>
      </c>
      <c r="D107">
        <v>29</v>
      </c>
      <c r="E107">
        <v>21</v>
      </c>
      <c r="F107">
        <v>9</v>
      </c>
      <c r="G107">
        <v>9</v>
      </c>
      <c r="H107">
        <v>9</v>
      </c>
      <c r="I107">
        <v>4</v>
      </c>
      <c r="J107">
        <v>2</v>
      </c>
      <c r="K107">
        <v>4</v>
      </c>
      <c r="L107">
        <v>3</v>
      </c>
      <c r="M107">
        <v>2</v>
      </c>
      <c r="N107">
        <v>0</v>
      </c>
      <c r="O107">
        <v>2</v>
      </c>
      <c r="P107">
        <v>0</v>
      </c>
      <c r="Q107">
        <v>0</v>
      </c>
      <c r="R107">
        <v>1</v>
      </c>
      <c r="S107">
        <v>0</v>
      </c>
      <c r="U107">
        <f>SUMPRODUCT(D$1:S$1, D107:S107) / SUM(D107:S107)</f>
        <v>3.5263157894736841</v>
      </c>
      <c r="V107">
        <f>SUM(D107:S107)</f>
        <v>95</v>
      </c>
    </row>
    <row r="108" spans="1:22" s="3" customFormat="1" x14ac:dyDescent="0.35">
      <c r="B108" s="3" t="s">
        <v>31</v>
      </c>
      <c r="C108" s="3" t="s">
        <v>0</v>
      </c>
      <c r="D108" s="3">
        <v>3</v>
      </c>
      <c r="E108" s="3">
        <v>3</v>
      </c>
      <c r="F108" s="3">
        <v>9</v>
      </c>
      <c r="G108" s="3">
        <v>6</v>
      </c>
      <c r="H108" s="3">
        <v>4</v>
      </c>
      <c r="I108" s="3">
        <v>17</v>
      </c>
      <c r="J108" s="3">
        <v>2</v>
      </c>
      <c r="K108" s="3">
        <v>8</v>
      </c>
      <c r="L108" s="3">
        <v>15</v>
      </c>
      <c r="M108" s="3">
        <v>13</v>
      </c>
      <c r="N108" s="3">
        <v>9</v>
      </c>
      <c r="O108" s="3">
        <v>5</v>
      </c>
      <c r="P108" s="3">
        <v>10</v>
      </c>
      <c r="Q108" s="3">
        <v>3</v>
      </c>
      <c r="R108" s="3">
        <v>0</v>
      </c>
      <c r="S108" s="3">
        <v>0</v>
      </c>
      <c r="U108" s="3">
        <f>SUMPRODUCT(D$1:S$1, D108:S108) / SUM(D108:S108)</f>
        <v>8</v>
      </c>
      <c r="V108" s="3">
        <f>SUM(D108:S108)</f>
        <v>107</v>
      </c>
    </row>
    <row r="109" spans="1:22" x14ac:dyDescent="0.35">
      <c r="A109" s="6" t="s">
        <v>36</v>
      </c>
      <c r="B109" s="6" t="s">
        <v>57</v>
      </c>
    </row>
    <row r="110" spans="1:22" x14ac:dyDescent="0.35">
      <c r="A110" t="s">
        <v>63</v>
      </c>
      <c r="B110" t="s">
        <v>34</v>
      </c>
      <c r="C110" t="s">
        <v>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6</v>
      </c>
      <c r="J110">
        <v>7</v>
      </c>
      <c r="K110">
        <v>22</v>
      </c>
      <c r="L110">
        <v>4</v>
      </c>
      <c r="M110">
        <v>10</v>
      </c>
      <c r="N110">
        <v>2</v>
      </c>
      <c r="O110">
        <v>10</v>
      </c>
      <c r="P110">
        <v>3</v>
      </c>
      <c r="Q110">
        <v>11</v>
      </c>
      <c r="R110">
        <v>3</v>
      </c>
      <c r="S110">
        <v>5</v>
      </c>
      <c r="U110">
        <f>SUMPRODUCT(D$1:S$1, D110:S110) / SUM(D110:S110)</f>
        <v>10.104651162790697</v>
      </c>
      <c r="V110">
        <f>SUM(D110:S110)</f>
        <v>86</v>
      </c>
    </row>
    <row r="111" spans="1:22" x14ac:dyDescent="0.35">
      <c r="B111" t="s">
        <v>33</v>
      </c>
      <c r="C111" t="s">
        <v>3</v>
      </c>
      <c r="D111">
        <v>3</v>
      </c>
      <c r="E111">
        <v>5</v>
      </c>
      <c r="F111">
        <v>4</v>
      </c>
      <c r="G111">
        <v>1</v>
      </c>
      <c r="H111">
        <v>5</v>
      </c>
      <c r="I111">
        <v>4</v>
      </c>
      <c r="J111">
        <v>8</v>
      </c>
      <c r="K111">
        <v>10</v>
      </c>
      <c r="L111">
        <v>13</v>
      </c>
      <c r="M111">
        <v>3</v>
      </c>
      <c r="N111">
        <v>7</v>
      </c>
      <c r="O111">
        <v>7</v>
      </c>
      <c r="P111">
        <v>4</v>
      </c>
      <c r="Q111">
        <v>3</v>
      </c>
      <c r="R111">
        <v>9</v>
      </c>
      <c r="S111">
        <v>15</v>
      </c>
      <c r="U111">
        <f>SUMPRODUCT(D$1:S$1, D111:S111) / SUM(D111:S111)</f>
        <v>9.8118811881188126</v>
      </c>
      <c r="V111">
        <f>SUM(D111:S111)</f>
        <v>101</v>
      </c>
    </row>
    <row r="112" spans="1:22" x14ac:dyDescent="0.35">
      <c r="B112" t="s">
        <v>32</v>
      </c>
      <c r="C112" t="s">
        <v>3</v>
      </c>
      <c r="D112">
        <v>4</v>
      </c>
      <c r="E112">
        <v>14</v>
      </c>
      <c r="F112">
        <v>15</v>
      </c>
      <c r="G112">
        <v>4</v>
      </c>
      <c r="H112">
        <v>5</v>
      </c>
      <c r="I112">
        <v>6</v>
      </c>
      <c r="J112">
        <v>5</v>
      </c>
      <c r="K112">
        <v>2</v>
      </c>
      <c r="L112">
        <v>14</v>
      </c>
      <c r="M112">
        <v>4</v>
      </c>
      <c r="N112">
        <v>3</v>
      </c>
      <c r="O112">
        <v>2</v>
      </c>
      <c r="P112">
        <v>3</v>
      </c>
      <c r="Q112">
        <v>1</v>
      </c>
      <c r="R112">
        <v>1</v>
      </c>
      <c r="S112">
        <v>3</v>
      </c>
      <c r="U112">
        <f>SUMPRODUCT(D$1:S$1, D112:S112) / SUM(D112:S112)</f>
        <v>6.3255813953488369</v>
      </c>
      <c r="V112">
        <f>SUM(D112:S112)</f>
        <v>86</v>
      </c>
    </row>
    <row r="113" spans="1:22" x14ac:dyDescent="0.35">
      <c r="B113" t="s">
        <v>31</v>
      </c>
      <c r="C113" t="s">
        <v>0</v>
      </c>
      <c r="D113">
        <v>4</v>
      </c>
      <c r="E113">
        <v>7</v>
      </c>
      <c r="F113">
        <v>8</v>
      </c>
      <c r="G113">
        <v>8</v>
      </c>
      <c r="H113">
        <v>8</v>
      </c>
      <c r="I113">
        <v>9</v>
      </c>
      <c r="J113">
        <v>4</v>
      </c>
      <c r="K113">
        <v>14</v>
      </c>
      <c r="L113">
        <v>9</v>
      </c>
      <c r="M113">
        <v>7</v>
      </c>
      <c r="N113">
        <v>2</v>
      </c>
      <c r="O113">
        <v>6</v>
      </c>
      <c r="P113">
        <v>1</v>
      </c>
      <c r="Q113">
        <v>0</v>
      </c>
      <c r="R113">
        <v>1</v>
      </c>
      <c r="S113">
        <v>0</v>
      </c>
      <c r="U113">
        <f>SUMPRODUCT(D$1:S$1, D113:S113) / SUM(D113:S113)</f>
        <v>6.6022727272727275</v>
      </c>
      <c r="V113">
        <f>SUM(D113:S113)</f>
        <v>88</v>
      </c>
    </row>
    <row r="115" spans="1:22" x14ac:dyDescent="0.35">
      <c r="A115" s="6" t="s">
        <v>35</v>
      </c>
      <c r="B115" s="6" t="s">
        <v>58</v>
      </c>
    </row>
    <row r="116" spans="1:22" x14ac:dyDescent="0.35">
      <c r="A116" t="s">
        <v>62</v>
      </c>
      <c r="B116" t="s">
        <v>34</v>
      </c>
      <c r="C116" t="s">
        <v>0</v>
      </c>
      <c r="D116">
        <v>0</v>
      </c>
      <c r="E116">
        <v>0</v>
      </c>
      <c r="F116">
        <v>2</v>
      </c>
      <c r="G116">
        <v>2</v>
      </c>
      <c r="H116">
        <v>2</v>
      </c>
      <c r="I116">
        <v>5</v>
      </c>
      <c r="J116">
        <v>2</v>
      </c>
      <c r="K116">
        <v>14</v>
      </c>
      <c r="L116">
        <v>4</v>
      </c>
      <c r="M116">
        <v>5</v>
      </c>
      <c r="N116">
        <v>7</v>
      </c>
      <c r="O116">
        <v>11</v>
      </c>
      <c r="P116">
        <v>6</v>
      </c>
      <c r="Q116">
        <v>15</v>
      </c>
      <c r="R116">
        <v>8</v>
      </c>
      <c r="S116">
        <v>3</v>
      </c>
      <c r="U116">
        <f>SUMPRODUCT(D$1:S$1, D116:S116) / SUM(D116:S116)</f>
        <v>10.825581395348838</v>
      </c>
      <c r="V116">
        <f>SUM(D116:S116)</f>
        <v>86</v>
      </c>
    </row>
    <row r="117" spans="1:22" x14ac:dyDescent="0.35">
      <c r="B117" t="s">
        <v>33</v>
      </c>
      <c r="C117" t="s">
        <v>3</v>
      </c>
      <c r="D117">
        <v>9</v>
      </c>
      <c r="E117">
        <v>9</v>
      </c>
      <c r="F117">
        <v>11</v>
      </c>
      <c r="G117">
        <v>0</v>
      </c>
      <c r="H117">
        <v>6</v>
      </c>
      <c r="I117">
        <v>5</v>
      </c>
      <c r="J117">
        <v>2</v>
      </c>
      <c r="K117">
        <v>5</v>
      </c>
      <c r="L117">
        <v>6</v>
      </c>
      <c r="M117">
        <v>2</v>
      </c>
      <c r="N117">
        <v>3</v>
      </c>
      <c r="O117">
        <v>1</v>
      </c>
      <c r="P117">
        <v>1</v>
      </c>
      <c r="Q117">
        <v>0</v>
      </c>
      <c r="R117">
        <v>1</v>
      </c>
      <c r="S117">
        <v>3</v>
      </c>
      <c r="U117">
        <f>SUMPRODUCT(D$1:S$1, D117:S117) / SUM(D117:S117)</f>
        <v>5.765625</v>
      </c>
      <c r="V117">
        <f>SUM(D117:S117)</f>
        <v>64</v>
      </c>
    </row>
    <row r="118" spans="1:22" x14ac:dyDescent="0.35">
      <c r="B118" t="s">
        <v>32</v>
      </c>
      <c r="C118" t="s">
        <v>3</v>
      </c>
      <c r="D118">
        <v>14</v>
      </c>
      <c r="E118">
        <v>19</v>
      </c>
      <c r="F118">
        <v>16</v>
      </c>
      <c r="G118">
        <v>8</v>
      </c>
      <c r="H118">
        <v>7</v>
      </c>
      <c r="I118">
        <v>10</v>
      </c>
      <c r="J118">
        <v>2</v>
      </c>
      <c r="K118">
        <v>5</v>
      </c>
      <c r="L118">
        <v>6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U118">
        <f>SUMPRODUCT(D$1:S$1, D118:S118) / SUM(D118:S118)</f>
        <v>4.1648351648351651</v>
      </c>
      <c r="V118">
        <f>SUM(D118:S118)</f>
        <v>91</v>
      </c>
    </row>
    <row r="119" spans="1:22" s="3" customFormat="1" x14ac:dyDescent="0.35">
      <c r="B119" s="3" t="s">
        <v>31</v>
      </c>
      <c r="C119" s="3" t="s">
        <v>0</v>
      </c>
      <c r="D119" s="3">
        <v>10</v>
      </c>
      <c r="E119" s="3">
        <v>2</v>
      </c>
      <c r="F119" s="3">
        <v>3</v>
      </c>
      <c r="G119" s="3">
        <v>2</v>
      </c>
      <c r="H119" s="3">
        <v>9</v>
      </c>
      <c r="I119" s="3">
        <v>11</v>
      </c>
      <c r="J119" s="3">
        <v>6</v>
      </c>
      <c r="K119" s="3">
        <v>11</v>
      </c>
      <c r="L119" s="3">
        <v>8</v>
      </c>
      <c r="M119" s="3">
        <v>6</v>
      </c>
      <c r="N119" s="3">
        <v>0</v>
      </c>
      <c r="O119" s="3">
        <v>2</v>
      </c>
      <c r="P119" s="3">
        <v>0</v>
      </c>
      <c r="Q119" s="3">
        <v>0</v>
      </c>
      <c r="R119" s="3">
        <v>0</v>
      </c>
      <c r="S119" s="3">
        <v>0</v>
      </c>
      <c r="U119" s="3">
        <f>SUMPRODUCT(D$1:S$1, D119:S119) / SUM(D119:S119)</f>
        <v>6.1142857142857139</v>
      </c>
      <c r="V119" s="3">
        <f>SUM(D119:S119)</f>
        <v>70</v>
      </c>
    </row>
    <row r="120" spans="1:22" ht="15" thickBot="1" x14ac:dyDescent="0.4"/>
    <row r="121" spans="1:22" ht="15.5" thickTop="1" thickBot="1" x14ac:dyDescent="0.4">
      <c r="A121" s="8" t="s">
        <v>61</v>
      </c>
      <c r="B121" s="8" t="s">
        <v>39</v>
      </c>
      <c r="C121" s="8" t="s">
        <v>9</v>
      </c>
      <c r="D121" s="8">
        <v>1</v>
      </c>
      <c r="E121" s="8">
        <v>2</v>
      </c>
      <c r="F121" s="8">
        <v>3</v>
      </c>
      <c r="G121" s="8">
        <v>4</v>
      </c>
      <c r="H121" s="8">
        <v>5</v>
      </c>
      <c r="I121" s="8">
        <v>6</v>
      </c>
      <c r="J121" s="8">
        <v>7</v>
      </c>
      <c r="K121" s="8">
        <v>8</v>
      </c>
      <c r="L121" s="8">
        <v>9</v>
      </c>
      <c r="M121" s="8">
        <v>10</v>
      </c>
      <c r="N121" s="8">
        <v>11</v>
      </c>
      <c r="O121" s="8">
        <v>12</v>
      </c>
      <c r="P121" s="8">
        <v>13</v>
      </c>
      <c r="Q121" s="8">
        <v>14</v>
      </c>
      <c r="R121" s="8">
        <v>15</v>
      </c>
      <c r="S121" s="8">
        <v>16</v>
      </c>
      <c r="T121" s="7"/>
      <c r="U121" s="7"/>
      <c r="V121" s="7"/>
    </row>
    <row r="122" spans="1:22" ht="15" thickTop="1" x14ac:dyDescent="0.35">
      <c r="A122" s="6" t="s">
        <v>38</v>
      </c>
      <c r="B122" s="6" t="s">
        <v>60</v>
      </c>
    </row>
    <row r="123" spans="1:22" x14ac:dyDescent="0.35">
      <c r="B123" t="s">
        <v>34</v>
      </c>
      <c r="C123" t="s">
        <v>3</v>
      </c>
      <c r="D123" t="s">
        <v>74</v>
      </c>
      <c r="U123" t="e">
        <f>SUMPRODUCT(D$1:S$1, D123:S123) / SUM(D123:S123)</f>
        <v>#DIV/0!</v>
      </c>
      <c r="V123">
        <f>SUM(D123:S123)</f>
        <v>0</v>
      </c>
    </row>
    <row r="124" spans="1:22" x14ac:dyDescent="0.35">
      <c r="B124" t="s">
        <v>33</v>
      </c>
      <c r="C124" t="s">
        <v>0</v>
      </c>
      <c r="U124" t="e">
        <f>SUMPRODUCT(D$1:S$1, D124:S124) / SUM(D124:S124)</f>
        <v>#DIV/0!</v>
      </c>
      <c r="V124">
        <f>SUM(D124:S124)</f>
        <v>0</v>
      </c>
    </row>
    <row r="125" spans="1:22" x14ac:dyDescent="0.35">
      <c r="B125" t="s">
        <v>32</v>
      </c>
      <c r="C125" t="s">
        <v>0</v>
      </c>
      <c r="U125" t="e">
        <f>SUMPRODUCT(D$1:S$1, D125:S125) / SUM(D125:S125)</f>
        <v>#DIV/0!</v>
      </c>
      <c r="V125">
        <f>SUM(D125:S125)</f>
        <v>0</v>
      </c>
    </row>
    <row r="126" spans="1:22" x14ac:dyDescent="0.35">
      <c r="B126" t="s">
        <v>31</v>
      </c>
      <c r="C126" t="s">
        <v>3</v>
      </c>
      <c r="U126" t="e">
        <f>SUMPRODUCT(D$1:S$1, D126:S126) / SUM(D126:S126)</f>
        <v>#DIV/0!</v>
      </c>
      <c r="V126">
        <f>SUM(D126:S126)</f>
        <v>0</v>
      </c>
    </row>
    <row r="128" spans="1:22" x14ac:dyDescent="0.35">
      <c r="A128" s="6" t="s">
        <v>37</v>
      </c>
      <c r="B128" s="6" t="s">
        <v>59</v>
      </c>
    </row>
    <row r="129" spans="1:22" x14ac:dyDescent="0.35">
      <c r="B129" t="s">
        <v>34</v>
      </c>
      <c r="C129" t="s">
        <v>3</v>
      </c>
      <c r="U129" t="e">
        <f>SUMPRODUCT(D$1:S$1, D129:S129) / SUM(D129:S129)</f>
        <v>#DIV/0!</v>
      </c>
      <c r="V129">
        <f>SUM(D129:S129)</f>
        <v>0</v>
      </c>
    </row>
    <row r="130" spans="1:22" x14ac:dyDescent="0.35">
      <c r="B130" t="s">
        <v>33</v>
      </c>
      <c r="C130" t="s">
        <v>0</v>
      </c>
      <c r="U130" t="e">
        <f>SUMPRODUCT(D$1:S$1, D130:S130) / SUM(D130:S130)</f>
        <v>#DIV/0!</v>
      </c>
      <c r="V130">
        <f>SUM(D130:S130)</f>
        <v>0</v>
      </c>
    </row>
    <row r="131" spans="1:22" x14ac:dyDescent="0.35">
      <c r="B131" t="s">
        <v>32</v>
      </c>
      <c r="C131" t="s">
        <v>0</v>
      </c>
      <c r="U131" t="e">
        <f>SUMPRODUCT(D$1:S$1, D131:S131) / SUM(D131:S131)</f>
        <v>#DIV/0!</v>
      </c>
      <c r="V131">
        <f>SUM(D131:S131)</f>
        <v>0</v>
      </c>
    </row>
    <row r="132" spans="1:22" x14ac:dyDescent="0.35">
      <c r="A132" s="3"/>
      <c r="B132" s="3" t="s">
        <v>31</v>
      </c>
      <c r="C132" s="3" t="s">
        <v>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 t="e">
        <f>SUMPRODUCT(D$1:S$1, D132:S132) / SUM(D132:S132)</f>
        <v>#DIV/0!</v>
      </c>
      <c r="V132" s="3">
        <f>SUM(D132:S132)</f>
        <v>0</v>
      </c>
    </row>
    <row r="133" spans="1:22" x14ac:dyDescent="0.35">
      <c r="A133" s="6" t="s">
        <v>36</v>
      </c>
      <c r="B133" s="6" t="s">
        <v>58</v>
      </c>
    </row>
    <row r="134" spans="1:22" x14ac:dyDescent="0.35">
      <c r="B134" t="s">
        <v>34</v>
      </c>
      <c r="C134" t="s">
        <v>3</v>
      </c>
      <c r="U134" t="e">
        <f>SUMPRODUCT(D$1:S$1, D134:S134) / SUM(D134:S134)</f>
        <v>#DIV/0!</v>
      </c>
      <c r="V134">
        <f>SUM(D134:S134)</f>
        <v>0</v>
      </c>
    </row>
    <row r="135" spans="1:22" x14ac:dyDescent="0.35">
      <c r="B135" t="s">
        <v>33</v>
      </c>
      <c r="C135" t="s">
        <v>0</v>
      </c>
      <c r="U135" t="e">
        <f>SUMPRODUCT(D$1:S$1, D135:S135) / SUM(D135:S135)</f>
        <v>#DIV/0!</v>
      </c>
      <c r="V135">
        <f>SUM(D135:S135)</f>
        <v>0</v>
      </c>
    </row>
    <row r="136" spans="1:22" x14ac:dyDescent="0.35">
      <c r="B136" t="s">
        <v>32</v>
      </c>
      <c r="C136" t="s">
        <v>0</v>
      </c>
      <c r="U136" t="e">
        <f>SUMPRODUCT(D$1:S$1, D136:S136) / SUM(D136:S136)</f>
        <v>#DIV/0!</v>
      </c>
      <c r="V136">
        <f>SUM(D136:S136)</f>
        <v>0</v>
      </c>
    </row>
    <row r="137" spans="1:22" x14ac:dyDescent="0.35">
      <c r="B137" t="s">
        <v>31</v>
      </c>
      <c r="C137" t="s">
        <v>3</v>
      </c>
      <c r="U137" t="e">
        <f>SUMPRODUCT(D$1:S$1, D137:S137) / SUM(D137:S137)</f>
        <v>#DIV/0!</v>
      </c>
      <c r="V137">
        <f>SUM(D137:S137)</f>
        <v>0</v>
      </c>
    </row>
    <row r="139" spans="1:22" x14ac:dyDescent="0.35">
      <c r="A139" s="6" t="s">
        <v>35</v>
      </c>
      <c r="B139" s="6" t="s">
        <v>57</v>
      </c>
    </row>
    <row r="140" spans="1:22" x14ac:dyDescent="0.35">
      <c r="B140" t="s">
        <v>34</v>
      </c>
      <c r="C140" t="s">
        <v>3</v>
      </c>
      <c r="U140" t="e">
        <f>SUMPRODUCT(D$1:S$1, D140:S140) / SUM(D140:S140)</f>
        <v>#DIV/0!</v>
      </c>
      <c r="V140">
        <f>SUM(D140:S140)</f>
        <v>0</v>
      </c>
    </row>
    <row r="141" spans="1:22" x14ac:dyDescent="0.35">
      <c r="B141" t="s">
        <v>33</v>
      </c>
      <c r="C141" t="s">
        <v>0</v>
      </c>
      <c r="U141" t="e">
        <f>SUMPRODUCT(D$1:S$1, D141:S141) / SUM(D141:S141)</f>
        <v>#DIV/0!</v>
      </c>
      <c r="V141">
        <f>SUM(D141:S141)</f>
        <v>0</v>
      </c>
    </row>
    <row r="142" spans="1:22" x14ac:dyDescent="0.35">
      <c r="B142" t="s">
        <v>32</v>
      </c>
      <c r="C142" t="s">
        <v>0</v>
      </c>
      <c r="U142" t="e">
        <f>SUMPRODUCT(D$1:S$1, D142:S142) / SUM(D142:S142)</f>
        <v>#DIV/0!</v>
      </c>
      <c r="V142">
        <f>SUM(D142:S142)</f>
        <v>0</v>
      </c>
    </row>
    <row r="143" spans="1:22" x14ac:dyDescent="0.35">
      <c r="B143" t="s">
        <v>31</v>
      </c>
      <c r="C143" t="s">
        <v>3</v>
      </c>
      <c r="U143" t="e">
        <f>SUMPRODUCT(D$1:S$1, D143:S143) / SUM(D143:S143)</f>
        <v>#DIV/0!</v>
      </c>
      <c r="V143">
        <f>SUM(D143:S143)</f>
        <v>0</v>
      </c>
    </row>
    <row r="145" spans="1:22" x14ac:dyDescent="0.35">
      <c r="A145" s="6" t="s">
        <v>51</v>
      </c>
      <c r="B145" s="6" t="s">
        <v>46</v>
      </c>
    </row>
    <row r="146" spans="1:22" x14ac:dyDescent="0.35">
      <c r="B146" t="s">
        <v>34</v>
      </c>
      <c r="C146" t="s">
        <v>3</v>
      </c>
      <c r="U146" t="e">
        <f>SUMPRODUCT(D$1:S$1, D146:S146) / SUM(D146:S146)</f>
        <v>#DIV/0!</v>
      </c>
      <c r="V146">
        <f>SUM(D146:S146)</f>
        <v>0</v>
      </c>
    </row>
    <row r="147" spans="1:22" x14ac:dyDescent="0.35">
      <c r="B147" t="s">
        <v>33</v>
      </c>
      <c r="C147" t="s">
        <v>0</v>
      </c>
      <c r="U147" t="e">
        <f>SUMPRODUCT(D$1:S$1, D147:S147) / SUM(D147:S147)</f>
        <v>#DIV/0!</v>
      </c>
      <c r="V147">
        <f>SUM(D147:S147)</f>
        <v>0</v>
      </c>
    </row>
    <row r="149" spans="1:22" x14ac:dyDescent="0.35">
      <c r="B149" s="6" t="s">
        <v>47</v>
      </c>
    </row>
    <row r="150" spans="1:22" x14ac:dyDescent="0.35">
      <c r="B150" t="s">
        <v>32</v>
      </c>
      <c r="C150" t="s">
        <v>0</v>
      </c>
      <c r="U150" t="e">
        <f>SUMPRODUCT(D$1:S$1, D150:S150) / SUM(D150:S150)</f>
        <v>#DIV/0!</v>
      </c>
      <c r="V150">
        <f>SUM(D150:S150)</f>
        <v>0</v>
      </c>
    </row>
    <row r="151" spans="1:22" x14ac:dyDescent="0.35">
      <c r="B151" t="s">
        <v>31</v>
      </c>
      <c r="C151" t="s">
        <v>3</v>
      </c>
      <c r="U151" t="e">
        <f>SUMPRODUCT(D$1:S$1, D151:S151) / SUM(D151:S151)</f>
        <v>#DIV/0!</v>
      </c>
      <c r="V151">
        <f>SUM(D151:S151)</f>
        <v>0</v>
      </c>
    </row>
    <row r="153" spans="1:22" x14ac:dyDescent="0.35">
      <c r="A153" s="6" t="s">
        <v>48</v>
      </c>
      <c r="B153" s="6" t="s">
        <v>49</v>
      </c>
    </row>
    <row r="154" spans="1:22" x14ac:dyDescent="0.35">
      <c r="B154" t="s">
        <v>34</v>
      </c>
      <c r="C154" t="s">
        <v>3</v>
      </c>
      <c r="U154" t="e">
        <f>SUMPRODUCT(D$1:S$1, D154:S154) / SUM(D154:S154)</f>
        <v>#DIV/0!</v>
      </c>
      <c r="V154">
        <f>SUM(D154:S154)</f>
        <v>0</v>
      </c>
    </row>
    <row r="155" spans="1:22" x14ac:dyDescent="0.35">
      <c r="B155" t="s">
        <v>33</v>
      </c>
      <c r="C155" t="s">
        <v>0</v>
      </c>
      <c r="U155" t="e">
        <f>SUMPRODUCT(D$1:S$1, D155:S155) / SUM(D155:S155)</f>
        <v>#DIV/0!</v>
      </c>
      <c r="V155">
        <f>SUM(D155:S155)</f>
        <v>0</v>
      </c>
    </row>
    <row r="157" spans="1:22" x14ac:dyDescent="0.35">
      <c r="B157" s="6" t="s">
        <v>50</v>
      </c>
    </row>
    <row r="158" spans="1:22" x14ac:dyDescent="0.35">
      <c r="B158" t="s">
        <v>32</v>
      </c>
      <c r="C158" t="s">
        <v>0</v>
      </c>
      <c r="U158" t="e">
        <f>SUMPRODUCT(D$1:S$1, D158:S158) / SUM(D158:S158)</f>
        <v>#DIV/0!</v>
      </c>
      <c r="V158">
        <f>SUM(D158:S158)</f>
        <v>0</v>
      </c>
    </row>
    <row r="159" spans="1:22" x14ac:dyDescent="0.35">
      <c r="B159" t="s">
        <v>31</v>
      </c>
      <c r="C159" t="s">
        <v>3</v>
      </c>
      <c r="U159" t="e">
        <f>SUMPRODUCT(D$1:S$1, D159:S159) / SUM(D159:S159)</f>
        <v>#DIV/0!</v>
      </c>
      <c r="V159">
        <f>SUM(D159:S159)</f>
        <v>0</v>
      </c>
    </row>
    <row r="160" spans="1:22" ht="15" thickBot="1" x14ac:dyDescent="0.4"/>
    <row r="161" spans="1:22" ht="15.5" thickTop="1" thickBot="1" x14ac:dyDescent="0.4">
      <c r="A161" s="8" t="s">
        <v>56</v>
      </c>
      <c r="B161" s="8" t="s">
        <v>39</v>
      </c>
      <c r="C161" s="8" t="s">
        <v>9</v>
      </c>
      <c r="D161" s="8">
        <v>1</v>
      </c>
      <c r="E161" s="8">
        <v>2</v>
      </c>
      <c r="F161" s="8">
        <v>3</v>
      </c>
      <c r="G161" s="8">
        <v>4</v>
      </c>
      <c r="H161" s="8">
        <v>5</v>
      </c>
      <c r="I161" s="8">
        <v>6</v>
      </c>
      <c r="J161" s="8">
        <v>7</v>
      </c>
      <c r="K161" s="8">
        <v>8</v>
      </c>
      <c r="L161" s="8">
        <v>9</v>
      </c>
      <c r="M161" s="8">
        <v>10</v>
      </c>
      <c r="N161" s="8">
        <v>11</v>
      </c>
      <c r="O161" s="8">
        <v>12</v>
      </c>
      <c r="P161" s="8">
        <v>13</v>
      </c>
      <c r="Q161" s="8">
        <v>14</v>
      </c>
      <c r="R161" s="8">
        <v>15</v>
      </c>
      <c r="S161" s="8">
        <v>16</v>
      </c>
      <c r="T161" s="7"/>
      <c r="U161" s="7"/>
      <c r="V161" s="7"/>
    </row>
    <row r="162" spans="1:22" ht="15" thickTop="1" x14ac:dyDescent="0.35">
      <c r="A162" s="6" t="s">
        <v>38</v>
      </c>
      <c r="B162" s="6"/>
    </row>
    <row r="163" spans="1:22" x14ac:dyDescent="0.35">
      <c r="B163" t="s">
        <v>34</v>
      </c>
      <c r="U163" t="e">
        <f>SUMPRODUCT(D$1:S$1, D163:S163) / SUM(D163:S163)</f>
        <v>#DIV/0!</v>
      </c>
      <c r="V163">
        <f>SUM(D163:S163)</f>
        <v>0</v>
      </c>
    </row>
    <row r="164" spans="1:22" x14ac:dyDescent="0.35">
      <c r="B164" t="s">
        <v>33</v>
      </c>
      <c r="U164" t="e">
        <f>SUMPRODUCT(D$1:S$1, D164:S164) / SUM(D164:S164)</f>
        <v>#DIV/0!</v>
      </c>
      <c r="V164">
        <f>SUM(D164:S164)</f>
        <v>0</v>
      </c>
    </row>
    <row r="165" spans="1:22" x14ac:dyDescent="0.35">
      <c r="B165" t="s">
        <v>32</v>
      </c>
      <c r="U165" t="e">
        <f>SUMPRODUCT(D$1:S$1, D165:S165) / SUM(D165:S165)</f>
        <v>#DIV/0!</v>
      </c>
      <c r="V165">
        <f>SUM(D165:S165)</f>
        <v>0</v>
      </c>
    </row>
    <row r="166" spans="1:22" x14ac:dyDescent="0.35">
      <c r="B166" t="s">
        <v>31</v>
      </c>
      <c r="U166" t="e">
        <f>SUMPRODUCT(D$1:S$1, D166:S166) / SUM(D166:S166)</f>
        <v>#DIV/0!</v>
      </c>
      <c r="V166">
        <f>SUM(D166:S166)</f>
        <v>0</v>
      </c>
    </row>
    <row r="168" spans="1:22" x14ac:dyDescent="0.35">
      <c r="A168" s="6" t="s">
        <v>37</v>
      </c>
      <c r="B168" s="6"/>
    </row>
    <row r="169" spans="1:22" x14ac:dyDescent="0.35">
      <c r="B169" t="s">
        <v>34</v>
      </c>
      <c r="U169" t="e">
        <f>SUMPRODUCT(D$1:S$1, D169:S169) / SUM(D169:S169)</f>
        <v>#DIV/0!</v>
      </c>
      <c r="V169">
        <f>SUM(D169:S169)</f>
        <v>0</v>
      </c>
    </row>
    <row r="170" spans="1:22" x14ac:dyDescent="0.35">
      <c r="B170" t="s">
        <v>33</v>
      </c>
      <c r="U170" t="e">
        <f>SUMPRODUCT(D$1:S$1, D170:S170) / SUM(D170:S170)</f>
        <v>#DIV/0!</v>
      </c>
      <c r="V170">
        <f>SUM(D170:S170)</f>
        <v>0</v>
      </c>
    </row>
    <row r="171" spans="1:22" x14ac:dyDescent="0.35">
      <c r="B171" t="s">
        <v>32</v>
      </c>
      <c r="U171" t="e">
        <f>SUMPRODUCT(D$1:S$1, D171:S171) / SUM(D171:S171)</f>
        <v>#DIV/0!</v>
      </c>
      <c r="V171">
        <f>SUM(D171:S171)</f>
        <v>0</v>
      </c>
    </row>
    <row r="172" spans="1:22" x14ac:dyDescent="0.35">
      <c r="A172" s="3"/>
      <c r="B172" s="3" t="s">
        <v>31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e">
        <f>SUMPRODUCT(D$1:S$1, D172:S172) / SUM(D172:S172)</f>
        <v>#DIV/0!</v>
      </c>
      <c r="V172" s="3">
        <f>SUM(D172:S172)</f>
        <v>0</v>
      </c>
    </row>
    <row r="173" spans="1:22" x14ac:dyDescent="0.35">
      <c r="A173" s="6" t="s">
        <v>36</v>
      </c>
      <c r="B173" s="6"/>
    </row>
    <row r="174" spans="1:22" x14ac:dyDescent="0.35">
      <c r="B174" t="s">
        <v>34</v>
      </c>
      <c r="U174" t="e">
        <f>SUMPRODUCT(D$1:S$1, D174:S174) / SUM(D174:S174)</f>
        <v>#DIV/0!</v>
      </c>
      <c r="V174">
        <f>SUM(D174:S174)</f>
        <v>0</v>
      </c>
    </row>
    <row r="175" spans="1:22" x14ac:dyDescent="0.35">
      <c r="B175" t="s">
        <v>33</v>
      </c>
      <c r="U175" t="e">
        <f>SUMPRODUCT(D$1:S$1, D175:S175) / SUM(D175:S175)</f>
        <v>#DIV/0!</v>
      </c>
      <c r="V175">
        <f>SUM(D175:S175)</f>
        <v>0</v>
      </c>
    </row>
    <row r="176" spans="1:22" x14ac:dyDescent="0.35">
      <c r="B176" t="s">
        <v>32</v>
      </c>
      <c r="U176" t="e">
        <f>SUMPRODUCT(D$1:S$1, D176:S176) / SUM(D176:S176)</f>
        <v>#DIV/0!</v>
      </c>
      <c r="V176">
        <f>SUM(D176:S176)</f>
        <v>0</v>
      </c>
    </row>
    <row r="177" spans="1:22" x14ac:dyDescent="0.35">
      <c r="B177" t="s">
        <v>31</v>
      </c>
      <c r="U177" t="e">
        <f>SUMPRODUCT(D$1:S$1, D177:S177) / SUM(D177:S177)</f>
        <v>#DIV/0!</v>
      </c>
      <c r="V177">
        <f>SUM(D177:S177)</f>
        <v>0</v>
      </c>
    </row>
    <row r="179" spans="1:22" x14ac:dyDescent="0.35">
      <c r="A179" s="6" t="s">
        <v>35</v>
      </c>
      <c r="B179" s="6"/>
    </row>
    <row r="180" spans="1:22" x14ac:dyDescent="0.35">
      <c r="B180" t="s">
        <v>34</v>
      </c>
      <c r="U180" t="e">
        <f>SUMPRODUCT(D$1:S$1, D180:S180) / SUM(D180:S180)</f>
        <v>#DIV/0!</v>
      </c>
      <c r="V180">
        <f>SUM(D180:S180)</f>
        <v>0</v>
      </c>
    </row>
    <row r="181" spans="1:22" x14ac:dyDescent="0.35">
      <c r="B181" t="s">
        <v>33</v>
      </c>
      <c r="U181" t="e">
        <f>SUMPRODUCT(D$1:S$1, D181:S181) / SUM(D181:S181)</f>
        <v>#DIV/0!</v>
      </c>
      <c r="V181">
        <f>SUM(D181:S181)</f>
        <v>0</v>
      </c>
    </row>
    <row r="182" spans="1:22" x14ac:dyDescent="0.35">
      <c r="B182" t="s">
        <v>32</v>
      </c>
      <c r="U182" t="e">
        <f>SUMPRODUCT(D$1:S$1, D182:S182) / SUM(D182:S182)</f>
        <v>#DIV/0!</v>
      </c>
      <c r="V182">
        <f>SUM(D182:S182)</f>
        <v>0</v>
      </c>
    </row>
    <row r="183" spans="1:22" x14ac:dyDescent="0.35">
      <c r="A183" s="3"/>
      <c r="B183" s="3" t="s">
        <v>31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e">
        <f>SUMPRODUCT(D$1:S$1, D183:S183) / SUM(D183:S183)</f>
        <v>#DIV/0!</v>
      </c>
      <c r="V183" s="3">
        <f>SUM(D183:S183)</f>
        <v>0</v>
      </c>
    </row>
    <row r="184" spans="1:22" ht="15" thickBot="1" x14ac:dyDescent="0.4"/>
    <row r="185" spans="1:22" ht="15.5" thickTop="1" thickBot="1" x14ac:dyDescent="0.4">
      <c r="A185" s="8" t="s">
        <v>55</v>
      </c>
      <c r="B185" s="8" t="s">
        <v>39</v>
      </c>
      <c r="C185" s="8" t="s">
        <v>9</v>
      </c>
      <c r="D185" s="8">
        <v>1</v>
      </c>
      <c r="E185" s="8">
        <v>2</v>
      </c>
      <c r="F185" s="8">
        <v>3</v>
      </c>
      <c r="G185" s="8">
        <v>4</v>
      </c>
      <c r="H185" s="8">
        <v>5</v>
      </c>
      <c r="I185" s="8">
        <v>6</v>
      </c>
      <c r="J185" s="8">
        <v>7</v>
      </c>
      <c r="K185" s="8">
        <v>8</v>
      </c>
      <c r="L185" s="8">
        <v>9</v>
      </c>
      <c r="M185" s="8">
        <v>10</v>
      </c>
      <c r="N185" s="8">
        <v>11</v>
      </c>
      <c r="O185" s="8">
        <v>12</v>
      </c>
      <c r="P185" s="8">
        <v>13</v>
      </c>
      <c r="Q185" s="8">
        <v>14</v>
      </c>
      <c r="R185" s="8">
        <v>15</v>
      </c>
      <c r="S185" s="8">
        <v>16</v>
      </c>
      <c r="T185" s="7"/>
      <c r="U185" s="7"/>
      <c r="V185" s="7"/>
    </row>
    <row r="186" spans="1:22" ht="15" thickTop="1" x14ac:dyDescent="0.35">
      <c r="A186" s="6" t="s">
        <v>38</v>
      </c>
      <c r="B186" s="6"/>
    </row>
    <row r="187" spans="1:22" x14ac:dyDescent="0.35">
      <c r="B187" t="s">
        <v>34</v>
      </c>
      <c r="U187" t="e">
        <f>SUMPRODUCT(D$1:S$1, D187:S187) / SUM(D187:S187)</f>
        <v>#DIV/0!</v>
      </c>
      <c r="V187">
        <f>SUM(D187:S187)</f>
        <v>0</v>
      </c>
    </row>
    <row r="188" spans="1:22" x14ac:dyDescent="0.35">
      <c r="B188" t="s">
        <v>33</v>
      </c>
      <c r="U188" t="e">
        <f>SUMPRODUCT(D$1:S$1, D188:S188) / SUM(D188:S188)</f>
        <v>#DIV/0!</v>
      </c>
      <c r="V188">
        <f>SUM(D188:S188)</f>
        <v>0</v>
      </c>
    </row>
    <row r="189" spans="1:22" x14ac:dyDescent="0.35">
      <c r="B189" t="s">
        <v>32</v>
      </c>
      <c r="U189" t="e">
        <f>SUMPRODUCT(D$1:S$1, D189:S189) / SUM(D189:S189)</f>
        <v>#DIV/0!</v>
      </c>
      <c r="V189">
        <f>SUM(D189:S189)</f>
        <v>0</v>
      </c>
    </row>
    <row r="190" spans="1:22" x14ac:dyDescent="0.35">
      <c r="B190" t="s">
        <v>31</v>
      </c>
      <c r="U190" t="e">
        <f>SUMPRODUCT(D$1:S$1, D190:S190) / SUM(D190:S190)</f>
        <v>#DIV/0!</v>
      </c>
      <c r="V190">
        <f>SUM(D190:S190)</f>
        <v>0</v>
      </c>
    </row>
    <row r="192" spans="1:22" x14ac:dyDescent="0.35">
      <c r="A192" s="6" t="s">
        <v>37</v>
      </c>
      <c r="B192" s="6"/>
    </row>
    <row r="193" spans="1:22" x14ac:dyDescent="0.35">
      <c r="B193" t="s">
        <v>34</v>
      </c>
      <c r="U193" t="e">
        <f>SUMPRODUCT(D$1:S$1, D193:S193) / SUM(D193:S193)</f>
        <v>#DIV/0!</v>
      </c>
      <c r="V193">
        <f>SUM(D193:S193)</f>
        <v>0</v>
      </c>
    </row>
    <row r="194" spans="1:22" x14ac:dyDescent="0.35">
      <c r="B194" t="s">
        <v>33</v>
      </c>
      <c r="U194" t="e">
        <f>SUMPRODUCT(D$1:S$1, D194:S194) / SUM(D194:S194)</f>
        <v>#DIV/0!</v>
      </c>
      <c r="V194">
        <f>SUM(D194:S194)</f>
        <v>0</v>
      </c>
    </row>
    <row r="195" spans="1:22" x14ac:dyDescent="0.35">
      <c r="B195" t="s">
        <v>32</v>
      </c>
      <c r="U195" t="e">
        <f>SUMPRODUCT(D$1:S$1, D195:S195) / SUM(D195:S195)</f>
        <v>#DIV/0!</v>
      </c>
      <c r="V195">
        <f>SUM(D195:S195)</f>
        <v>0</v>
      </c>
    </row>
    <row r="196" spans="1:22" x14ac:dyDescent="0.35">
      <c r="A196" s="3"/>
      <c r="B196" s="3" t="s">
        <v>31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e">
        <f>SUMPRODUCT(D$1:S$1, D196:S196) / SUM(D196:S196)</f>
        <v>#DIV/0!</v>
      </c>
      <c r="V196" s="3">
        <f>SUM(D196:S196)</f>
        <v>0</v>
      </c>
    </row>
    <row r="197" spans="1:22" x14ac:dyDescent="0.35">
      <c r="A197" s="6" t="s">
        <v>36</v>
      </c>
      <c r="B197" s="6"/>
    </row>
    <row r="198" spans="1:22" x14ac:dyDescent="0.35">
      <c r="B198" t="s">
        <v>34</v>
      </c>
      <c r="U198" t="e">
        <f>SUMPRODUCT(D$1:S$1, D198:S198) / SUM(D198:S198)</f>
        <v>#DIV/0!</v>
      </c>
      <c r="V198">
        <f>SUM(D198:S198)</f>
        <v>0</v>
      </c>
    </row>
    <row r="199" spans="1:22" x14ac:dyDescent="0.35">
      <c r="B199" t="s">
        <v>33</v>
      </c>
      <c r="U199" t="e">
        <f>SUMPRODUCT(D$1:S$1, D199:S199) / SUM(D199:S199)</f>
        <v>#DIV/0!</v>
      </c>
      <c r="V199">
        <f>SUM(D199:S199)</f>
        <v>0</v>
      </c>
    </row>
    <row r="200" spans="1:22" x14ac:dyDescent="0.35">
      <c r="B200" t="s">
        <v>32</v>
      </c>
      <c r="U200" t="e">
        <f>SUMPRODUCT(D$1:S$1, D200:S200) / SUM(D200:S200)</f>
        <v>#DIV/0!</v>
      </c>
      <c r="V200">
        <f>SUM(D200:S200)</f>
        <v>0</v>
      </c>
    </row>
    <row r="201" spans="1:22" x14ac:dyDescent="0.35">
      <c r="B201" t="s">
        <v>31</v>
      </c>
      <c r="U201" t="e">
        <f>SUMPRODUCT(D$1:S$1, D201:S201) / SUM(D201:S201)</f>
        <v>#DIV/0!</v>
      </c>
      <c r="V201">
        <f>SUM(D201:S201)</f>
        <v>0</v>
      </c>
    </row>
    <row r="203" spans="1:22" x14ac:dyDescent="0.35">
      <c r="A203" s="6" t="s">
        <v>35</v>
      </c>
      <c r="B203" s="6"/>
    </row>
    <row r="204" spans="1:22" x14ac:dyDescent="0.35">
      <c r="B204" t="s">
        <v>34</v>
      </c>
      <c r="U204" t="e">
        <f>SUMPRODUCT(D$1:S$1, D204:S204) / SUM(D204:S204)</f>
        <v>#DIV/0!</v>
      </c>
      <c r="V204">
        <f>SUM(D204:S204)</f>
        <v>0</v>
      </c>
    </row>
    <row r="205" spans="1:22" x14ac:dyDescent="0.35">
      <c r="B205" t="s">
        <v>33</v>
      </c>
      <c r="U205" t="e">
        <f>SUMPRODUCT(D$1:S$1, D205:S205) / SUM(D205:S205)</f>
        <v>#DIV/0!</v>
      </c>
      <c r="V205">
        <f>SUM(D205:S205)</f>
        <v>0</v>
      </c>
    </row>
    <row r="206" spans="1:22" x14ac:dyDescent="0.35">
      <c r="B206" t="s">
        <v>32</v>
      </c>
      <c r="U206" t="e">
        <f>SUMPRODUCT(D$1:S$1, D206:S206) / SUM(D206:S206)</f>
        <v>#DIV/0!</v>
      </c>
      <c r="V206">
        <f>SUM(D206:S206)</f>
        <v>0</v>
      </c>
    </row>
    <row r="207" spans="1:22" x14ac:dyDescent="0.35">
      <c r="A207" s="3"/>
      <c r="B207" s="3" t="s">
        <v>31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 t="e">
        <f>SUMPRODUCT(D$1:S$1, D207:S207) / SUM(D207:S207)</f>
        <v>#DIV/0!</v>
      </c>
      <c r="V207" s="3">
        <f>SUM(D207:S207)</f>
        <v>0</v>
      </c>
    </row>
    <row r="208" spans="1:22" ht="15" thickBot="1" x14ac:dyDescent="0.4"/>
    <row r="209" spans="1:22" ht="15.5" thickTop="1" thickBot="1" x14ac:dyDescent="0.4">
      <c r="A209" s="8" t="s">
        <v>54</v>
      </c>
      <c r="B209" s="8" t="s">
        <v>39</v>
      </c>
      <c r="C209" s="8" t="s">
        <v>9</v>
      </c>
      <c r="D209" s="8">
        <v>1</v>
      </c>
      <c r="E209" s="8">
        <v>2</v>
      </c>
      <c r="F209" s="8">
        <v>3</v>
      </c>
      <c r="G209" s="8">
        <v>4</v>
      </c>
      <c r="H209" s="8">
        <v>5</v>
      </c>
      <c r="I209" s="8">
        <v>6</v>
      </c>
      <c r="J209" s="8">
        <v>7</v>
      </c>
      <c r="K209" s="8">
        <v>8</v>
      </c>
      <c r="L209" s="8">
        <v>9</v>
      </c>
      <c r="M209" s="8">
        <v>10</v>
      </c>
      <c r="N209" s="8">
        <v>11</v>
      </c>
      <c r="O209" s="8">
        <v>12</v>
      </c>
      <c r="P209" s="8">
        <v>13</v>
      </c>
      <c r="Q209" s="8">
        <v>14</v>
      </c>
      <c r="R209" s="8">
        <v>15</v>
      </c>
      <c r="S209" s="8">
        <v>16</v>
      </c>
      <c r="T209" s="7"/>
      <c r="U209" s="7"/>
      <c r="V209" s="7"/>
    </row>
    <row r="210" spans="1:22" ht="15" thickTop="1" x14ac:dyDescent="0.35">
      <c r="A210" s="6" t="s">
        <v>38</v>
      </c>
      <c r="B210" s="6"/>
    </row>
    <row r="211" spans="1:22" x14ac:dyDescent="0.35">
      <c r="B211" t="s">
        <v>34</v>
      </c>
      <c r="U211" t="e">
        <f>SUMPRODUCT(D$1:S$1, D211:S211) / SUM(D211:S211)</f>
        <v>#DIV/0!</v>
      </c>
      <c r="V211">
        <f>SUM(D211:S211)</f>
        <v>0</v>
      </c>
    </row>
    <row r="212" spans="1:22" x14ac:dyDescent="0.35">
      <c r="B212" t="s">
        <v>33</v>
      </c>
      <c r="U212" t="e">
        <f>SUMPRODUCT(D$1:S$1, D212:S212) / SUM(D212:S212)</f>
        <v>#DIV/0!</v>
      </c>
      <c r="V212">
        <f>SUM(D212:S212)</f>
        <v>0</v>
      </c>
    </row>
    <row r="213" spans="1:22" x14ac:dyDescent="0.35">
      <c r="B213" t="s">
        <v>32</v>
      </c>
      <c r="U213" t="e">
        <f>SUMPRODUCT(D$1:S$1, D213:S213) / SUM(D213:S213)</f>
        <v>#DIV/0!</v>
      </c>
      <c r="V213">
        <f>SUM(D213:S213)</f>
        <v>0</v>
      </c>
    </row>
    <row r="214" spans="1:22" x14ac:dyDescent="0.35">
      <c r="B214" t="s">
        <v>31</v>
      </c>
      <c r="U214" t="e">
        <f>SUMPRODUCT(D$1:S$1, D214:S214) / SUM(D214:S214)</f>
        <v>#DIV/0!</v>
      </c>
      <c r="V214">
        <f>SUM(D214:S214)</f>
        <v>0</v>
      </c>
    </row>
    <row r="216" spans="1:22" x14ac:dyDescent="0.35">
      <c r="A216" s="6" t="s">
        <v>37</v>
      </c>
      <c r="B216" s="6"/>
    </row>
    <row r="217" spans="1:22" x14ac:dyDescent="0.35">
      <c r="B217" t="s">
        <v>34</v>
      </c>
      <c r="U217" t="e">
        <f>SUMPRODUCT(D$1:S$1, D217:S217) / SUM(D217:S217)</f>
        <v>#DIV/0!</v>
      </c>
      <c r="V217">
        <f>SUM(D217:S217)</f>
        <v>0</v>
      </c>
    </row>
    <row r="218" spans="1:22" x14ac:dyDescent="0.35">
      <c r="B218" t="s">
        <v>33</v>
      </c>
      <c r="U218" t="e">
        <f>SUMPRODUCT(D$1:S$1, D218:S218) / SUM(D218:S218)</f>
        <v>#DIV/0!</v>
      </c>
      <c r="V218">
        <f>SUM(D218:S218)</f>
        <v>0</v>
      </c>
    </row>
    <row r="219" spans="1:22" x14ac:dyDescent="0.35">
      <c r="B219" t="s">
        <v>32</v>
      </c>
      <c r="U219" t="e">
        <f>SUMPRODUCT(D$1:S$1, D219:S219) / SUM(D219:S219)</f>
        <v>#DIV/0!</v>
      </c>
      <c r="V219">
        <f>SUM(D219:S219)</f>
        <v>0</v>
      </c>
    </row>
    <row r="220" spans="1:22" x14ac:dyDescent="0.35">
      <c r="A220" s="3"/>
      <c r="B220" s="3" t="s">
        <v>31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 t="e">
        <f>SUMPRODUCT(D$1:S$1, D220:S220) / SUM(D220:S220)</f>
        <v>#DIV/0!</v>
      </c>
      <c r="V220" s="3">
        <f>SUM(D220:S220)</f>
        <v>0</v>
      </c>
    </row>
    <row r="221" spans="1:22" x14ac:dyDescent="0.35">
      <c r="A221" s="6" t="s">
        <v>36</v>
      </c>
      <c r="B221" s="6"/>
    </row>
    <row r="222" spans="1:22" x14ac:dyDescent="0.35">
      <c r="B222" t="s">
        <v>34</v>
      </c>
      <c r="U222" t="e">
        <f>SUMPRODUCT(D$1:S$1, D222:S222) / SUM(D222:S222)</f>
        <v>#DIV/0!</v>
      </c>
      <c r="V222">
        <f>SUM(D222:S222)</f>
        <v>0</v>
      </c>
    </row>
    <row r="223" spans="1:22" x14ac:dyDescent="0.35">
      <c r="B223" t="s">
        <v>33</v>
      </c>
      <c r="U223" t="e">
        <f>SUMPRODUCT(D$1:S$1, D223:S223) / SUM(D223:S223)</f>
        <v>#DIV/0!</v>
      </c>
      <c r="V223">
        <f>SUM(D223:S223)</f>
        <v>0</v>
      </c>
    </row>
    <row r="224" spans="1:22" x14ac:dyDescent="0.35">
      <c r="B224" t="s">
        <v>32</v>
      </c>
      <c r="U224" t="e">
        <f>SUMPRODUCT(D$1:S$1, D224:S224) / SUM(D224:S224)</f>
        <v>#DIV/0!</v>
      </c>
      <c r="V224">
        <f>SUM(D224:S224)</f>
        <v>0</v>
      </c>
    </row>
    <row r="225" spans="1:22" x14ac:dyDescent="0.35">
      <c r="B225" t="s">
        <v>31</v>
      </c>
      <c r="U225" t="e">
        <f>SUMPRODUCT(D$1:S$1, D225:S225) / SUM(D225:S225)</f>
        <v>#DIV/0!</v>
      </c>
      <c r="V225">
        <f>SUM(D225:S225)</f>
        <v>0</v>
      </c>
    </row>
    <row r="227" spans="1:22" x14ac:dyDescent="0.35">
      <c r="A227" s="6" t="s">
        <v>35</v>
      </c>
      <c r="B227" s="6"/>
    </row>
    <row r="228" spans="1:22" x14ac:dyDescent="0.35">
      <c r="B228" t="s">
        <v>34</v>
      </c>
      <c r="U228" t="e">
        <f>SUMPRODUCT(D$1:S$1, D228:S228) / SUM(D228:S228)</f>
        <v>#DIV/0!</v>
      </c>
      <c r="V228">
        <f>SUM(D228:S228)</f>
        <v>0</v>
      </c>
    </row>
    <row r="229" spans="1:22" x14ac:dyDescent="0.35">
      <c r="B229" t="s">
        <v>33</v>
      </c>
      <c r="U229" t="e">
        <f>SUMPRODUCT(D$1:S$1, D229:S229) / SUM(D229:S229)</f>
        <v>#DIV/0!</v>
      </c>
      <c r="V229">
        <f>SUM(D229:S229)</f>
        <v>0</v>
      </c>
    </row>
    <row r="230" spans="1:22" x14ac:dyDescent="0.35">
      <c r="B230" t="s">
        <v>32</v>
      </c>
      <c r="U230" t="e">
        <f>SUMPRODUCT(D$1:S$1, D230:S230) / SUM(D230:S230)</f>
        <v>#DIV/0!</v>
      </c>
      <c r="V230">
        <f>SUM(D230:S230)</f>
        <v>0</v>
      </c>
    </row>
    <row r="231" spans="1:22" x14ac:dyDescent="0.35">
      <c r="A231" s="3"/>
      <c r="B231" s="3" t="s">
        <v>31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 t="e">
        <f>SUMPRODUCT(D$1:S$1, D231:S231) / SUM(D231:S231)</f>
        <v>#DIV/0!</v>
      </c>
      <c r="V231" s="3">
        <f>SUM(D231:S231)</f>
        <v>0</v>
      </c>
    </row>
    <row r="232" spans="1:22" ht="15" thickBot="1" x14ac:dyDescent="0.4"/>
    <row r="233" spans="1:22" ht="15.5" thickTop="1" thickBot="1" x14ac:dyDescent="0.4">
      <c r="A233" s="8" t="s">
        <v>53</v>
      </c>
      <c r="B233" s="8" t="s">
        <v>39</v>
      </c>
      <c r="C233" s="8" t="s">
        <v>9</v>
      </c>
      <c r="D233" s="8">
        <v>1</v>
      </c>
      <c r="E233" s="8">
        <v>2</v>
      </c>
      <c r="F233" s="8">
        <v>3</v>
      </c>
      <c r="G233" s="8">
        <v>4</v>
      </c>
      <c r="H233" s="8">
        <v>5</v>
      </c>
      <c r="I233" s="8">
        <v>6</v>
      </c>
      <c r="J233" s="8">
        <v>7</v>
      </c>
      <c r="K233" s="8">
        <v>8</v>
      </c>
      <c r="L233" s="8">
        <v>9</v>
      </c>
      <c r="M233" s="8">
        <v>10</v>
      </c>
      <c r="N233" s="8">
        <v>11</v>
      </c>
      <c r="O233" s="8">
        <v>12</v>
      </c>
      <c r="P233" s="8">
        <v>13</v>
      </c>
      <c r="Q233" s="8">
        <v>14</v>
      </c>
      <c r="R233" s="8">
        <v>15</v>
      </c>
      <c r="S233" s="8">
        <v>16</v>
      </c>
      <c r="T233" s="7"/>
      <c r="U233" s="7"/>
      <c r="V233" s="7"/>
    </row>
    <row r="234" spans="1:22" ht="15" thickTop="1" x14ac:dyDescent="0.35">
      <c r="A234" s="6" t="s">
        <v>38</v>
      </c>
      <c r="B234" s="6"/>
    </row>
    <row r="235" spans="1:22" x14ac:dyDescent="0.35">
      <c r="B235" t="s">
        <v>34</v>
      </c>
      <c r="U235" t="e">
        <f>SUMPRODUCT(D$1:S$1, D235:S235) / SUM(D235:S235)</f>
        <v>#DIV/0!</v>
      </c>
      <c r="V235">
        <f>SUM(D235:S235)</f>
        <v>0</v>
      </c>
    </row>
    <row r="236" spans="1:22" x14ac:dyDescent="0.35">
      <c r="B236" t="s">
        <v>33</v>
      </c>
      <c r="U236" t="e">
        <f>SUMPRODUCT(D$1:S$1, D236:S236) / SUM(D236:S236)</f>
        <v>#DIV/0!</v>
      </c>
      <c r="V236">
        <f>SUM(D236:S236)</f>
        <v>0</v>
      </c>
    </row>
    <row r="237" spans="1:22" x14ac:dyDescent="0.35">
      <c r="B237" t="s">
        <v>32</v>
      </c>
      <c r="U237" t="e">
        <f>SUMPRODUCT(D$1:S$1, D237:S237) / SUM(D237:S237)</f>
        <v>#DIV/0!</v>
      </c>
      <c r="V237">
        <f>SUM(D237:S237)</f>
        <v>0</v>
      </c>
    </row>
    <row r="238" spans="1:22" x14ac:dyDescent="0.35">
      <c r="B238" t="s">
        <v>31</v>
      </c>
      <c r="U238" t="e">
        <f>SUMPRODUCT(D$1:S$1, D238:S238) / SUM(D238:S238)</f>
        <v>#DIV/0!</v>
      </c>
      <c r="V238">
        <f>SUM(D238:S238)</f>
        <v>0</v>
      </c>
    </row>
    <row r="240" spans="1:22" x14ac:dyDescent="0.35">
      <c r="A240" s="6" t="s">
        <v>37</v>
      </c>
      <c r="B240" s="6"/>
    </row>
    <row r="241" spans="1:22" x14ac:dyDescent="0.35">
      <c r="B241" t="s">
        <v>34</v>
      </c>
      <c r="U241" t="e">
        <f>SUMPRODUCT(D$1:S$1, D241:S241) / SUM(D241:S241)</f>
        <v>#DIV/0!</v>
      </c>
      <c r="V241">
        <f>SUM(D241:S241)</f>
        <v>0</v>
      </c>
    </row>
    <row r="242" spans="1:22" x14ac:dyDescent="0.35">
      <c r="B242" t="s">
        <v>33</v>
      </c>
      <c r="U242" t="e">
        <f>SUMPRODUCT(D$1:S$1, D242:S242) / SUM(D242:S242)</f>
        <v>#DIV/0!</v>
      </c>
      <c r="V242">
        <f>SUM(D242:S242)</f>
        <v>0</v>
      </c>
    </row>
    <row r="243" spans="1:22" x14ac:dyDescent="0.35">
      <c r="B243" t="s">
        <v>32</v>
      </c>
      <c r="U243" t="e">
        <f>SUMPRODUCT(D$1:S$1, D243:S243) / SUM(D243:S243)</f>
        <v>#DIV/0!</v>
      </c>
      <c r="V243">
        <f>SUM(D243:S243)</f>
        <v>0</v>
      </c>
    </row>
    <row r="244" spans="1:22" x14ac:dyDescent="0.35">
      <c r="A244" s="3"/>
      <c r="B244" s="3" t="s">
        <v>31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 t="e">
        <f>SUMPRODUCT(D$1:S$1, D244:S244) / SUM(D244:S244)</f>
        <v>#DIV/0!</v>
      </c>
      <c r="V244" s="3">
        <f>SUM(D244:S244)</f>
        <v>0</v>
      </c>
    </row>
    <row r="245" spans="1:22" x14ac:dyDescent="0.35">
      <c r="A245" s="6" t="s">
        <v>36</v>
      </c>
      <c r="B245" s="6"/>
    </row>
    <row r="246" spans="1:22" x14ac:dyDescent="0.35">
      <c r="B246" t="s">
        <v>34</v>
      </c>
      <c r="U246" t="e">
        <f>SUMPRODUCT(D$1:S$1, D246:S246) / SUM(D246:S246)</f>
        <v>#DIV/0!</v>
      </c>
      <c r="V246">
        <f>SUM(D246:S246)</f>
        <v>0</v>
      </c>
    </row>
    <row r="247" spans="1:22" x14ac:dyDescent="0.35">
      <c r="B247" t="s">
        <v>33</v>
      </c>
      <c r="U247" t="e">
        <f>SUMPRODUCT(D$1:S$1, D247:S247) / SUM(D247:S247)</f>
        <v>#DIV/0!</v>
      </c>
      <c r="V247">
        <f>SUM(D247:S247)</f>
        <v>0</v>
      </c>
    </row>
    <row r="248" spans="1:22" x14ac:dyDescent="0.35">
      <c r="B248" t="s">
        <v>32</v>
      </c>
      <c r="U248" t="e">
        <f>SUMPRODUCT(D$1:S$1, D248:S248) / SUM(D248:S248)</f>
        <v>#DIV/0!</v>
      </c>
      <c r="V248">
        <f>SUM(D248:S248)</f>
        <v>0</v>
      </c>
    </row>
    <row r="249" spans="1:22" x14ac:dyDescent="0.35">
      <c r="B249" t="s">
        <v>31</v>
      </c>
      <c r="U249" t="e">
        <f>SUMPRODUCT(D$1:S$1, D249:S249) / SUM(D249:S249)</f>
        <v>#DIV/0!</v>
      </c>
      <c r="V249">
        <f>SUM(D249:S249)</f>
        <v>0</v>
      </c>
    </row>
    <row r="251" spans="1:22" x14ac:dyDescent="0.35">
      <c r="A251" s="6" t="s">
        <v>35</v>
      </c>
      <c r="B251" s="6"/>
    </row>
    <row r="252" spans="1:22" x14ac:dyDescent="0.35">
      <c r="B252" t="s">
        <v>34</v>
      </c>
      <c r="U252" t="e">
        <f>SUMPRODUCT(D$1:S$1, D252:S252) / SUM(D252:S252)</f>
        <v>#DIV/0!</v>
      </c>
      <c r="V252">
        <f>SUM(D252:S252)</f>
        <v>0</v>
      </c>
    </row>
    <row r="253" spans="1:22" x14ac:dyDescent="0.35">
      <c r="B253" t="s">
        <v>33</v>
      </c>
      <c r="U253" t="e">
        <f>SUMPRODUCT(D$1:S$1, D253:S253) / SUM(D253:S253)</f>
        <v>#DIV/0!</v>
      </c>
      <c r="V253">
        <f>SUM(D253:S253)</f>
        <v>0</v>
      </c>
    </row>
    <row r="254" spans="1:22" x14ac:dyDescent="0.35">
      <c r="B254" t="s">
        <v>32</v>
      </c>
      <c r="U254" t="e">
        <f>SUMPRODUCT(D$1:S$1, D254:S254) / SUM(D254:S254)</f>
        <v>#DIV/0!</v>
      </c>
      <c r="V254">
        <f>SUM(D254:S254)</f>
        <v>0</v>
      </c>
    </row>
    <row r="255" spans="1:22" x14ac:dyDescent="0.35">
      <c r="A255" s="3"/>
      <c r="B255" s="3" t="s">
        <v>31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 t="e">
        <f>SUMPRODUCT(D$1:S$1, D255:S255) / SUM(D255:S255)</f>
        <v>#DIV/0!</v>
      </c>
      <c r="V255" s="3">
        <f>SUM(D255:S255)</f>
        <v>0</v>
      </c>
    </row>
    <row r="256" spans="1:22" ht="15" thickBot="1" x14ac:dyDescent="0.4"/>
    <row r="257" spans="1:22" ht="15.5" thickTop="1" thickBot="1" x14ac:dyDescent="0.4">
      <c r="A257" s="8" t="s">
        <v>52</v>
      </c>
      <c r="B257" s="8" t="s">
        <v>39</v>
      </c>
      <c r="C257" s="8" t="s">
        <v>9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  <c r="N257" s="8">
        <v>11</v>
      </c>
      <c r="O257" s="8">
        <v>12</v>
      </c>
      <c r="P257" s="8">
        <v>13</v>
      </c>
      <c r="Q257" s="8">
        <v>14</v>
      </c>
      <c r="R257" s="8">
        <v>15</v>
      </c>
      <c r="S257" s="8">
        <v>16</v>
      </c>
      <c r="T257" s="7"/>
      <c r="U257" s="7"/>
      <c r="V257" s="7"/>
    </row>
    <row r="258" spans="1:22" ht="15" thickTop="1" x14ac:dyDescent="0.35">
      <c r="A258" s="6" t="s">
        <v>38</v>
      </c>
      <c r="B258" s="6"/>
    </row>
    <row r="259" spans="1:22" x14ac:dyDescent="0.35">
      <c r="B259" t="s">
        <v>34</v>
      </c>
      <c r="U259" t="e">
        <f>SUMPRODUCT(D$1:S$1, D259:S259) / SUM(D259:S259)</f>
        <v>#DIV/0!</v>
      </c>
      <c r="V259">
        <f>SUM(D259:S259)</f>
        <v>0</v>
      </c>
    </row>
    <row r="260" spans="1:22" x14ac:dyDescent="0.35">
      <c r="B260" t="s">
        <v>33</v>
      </c>
      <c r="U260" t="e">
        <f>SUMPRODUCT(D$1:S$1, D260:S260) / SUM(D260:S260)</f>
        <v>#DIV/0!</v>
      </c>
      <c r="V260">
        <f>SUM(D260:S260)</f>
        <v>0</v>
      </c>
    </row>
    <row r="261" spans="1:22" x14ac:dyDescent="0.35">
      <c r="B261" t="s">
        <v>32</v>
      </c>
      <c r="U261" t="e">
        <f>SUMPRODUCT(D$1:S$1, D261:S261) / SUM(D261:S261)</f>
        <v>#DIV/0!</v>
      </c>
      <c r="V261">
        <f>SUM(D261:S261)</f>
        <v>0</v>
      </c>
    </row>
    <row r="262" spans="1:22" x14ac:dyDescent="0.35">
      <c r="B262" t="s">
        <v>31</v>
      </c>
      <c r="U262" t="e">
        <f>SUMPRODUCT(D$1:S$1, D262:S262) / SUM(D262:S262)</f>
        <v>#DIV/0!</v>
      </c>
      <c r="V262">
        <f>SUM(D262:S262)</f>
        <v>0</v>
      </c>
    </row>
    <row r="264" spans="1:22" x14ac:dyDescent="0.35">
      <c r="A264" s="6" t="s">
        <v>37</v>
      </c>
      <c r="B264" s="6"/>
    </row>
    <row r="265" spans="1:22" x14ac:dyDescent="0.35">
      <c r="B265" t="s">
        <v>34</v>
      </c>
      <c r="U265" t="e">
        <f>SUMPRODUCT(D$1:S$1, D265:S265) / SUM(D265:S265)</f>
        <v>#DIV/0!</v>
      </c>
      <c r="V265">
        <f>SUM(D265:S265)</f>
        <v>0</v>
      </c>
    </row>
    <row r="266" spans="1:22" x14ac:dyDescent="0.35">
      <c r="B266" t="s">
        <v>33</v>
      </c>
      <c r="U266" t="e">
        <f>SUMPRODUCT(D$1:S$1, D266:S266) / SUM(D266:S266)</f>
        <v>#DIV/0!</v>
      </c>
      <c r="V266">
        <f>SUM(D266:S266)</f>
        <v>0</v>
      </c>
    </row>
    <row r="267" spans="1:22" x14ac:dyDescent="0.35">
      <c r="B267" t="s">
        <v>32</v>
      </c>
      <c r="U267" t="e">
        <f>SUMPRODUCT(D$1:S$1, D267:S267) / SUM(D267:S267)</f>
        <v>#DIV/0!</v>
      </c>
      <c r="V267">
        <f>SUM(D267:S267)</f>
        <v>0</v>
      </c>
    </row>
    <row r="268" spans="1:22" x14ac:dyDescent="0.35">
      <c r="A268" s="3"/>
      <c r="B268" s="3" t="s">
        <v>31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 t="e">
        <f>SUMPRODUCT(D$1:S$1, D268:S268) / SUM(D268:S268)</f>
        <v>#DIV/0!</v>
      </c>
      <c r="V268" s="3">
        <f>SUM(D268:S268)</f>
        <v>0</v>
      </c>
    </row>
    <row r="269" spans="1:22" x14ac:dyDescent="0.35">
      <c r="A269" s="6" t="s">
        <v>36</v>
      </c>
      <c r="B269" s="6"/>
    </row>
    <row r="270" spans="1:22" x14ac:dyDescent="0.35">
      <c r="B270" t="s">
        <v>34</v>
      </c>
      <c r="U270" t="e">
        <f>SUMPRODUCT(D$1:S$1, D270:S270) / SUM(D270:S270)</f>
        <v>#DIV/0!</v>
      </c>
      <c r="V270">
        <f>SUM(D270:S270)</f>
        <v>0</v>
      </c>
    </row>
    <row r="271" spans="1:22" x14ac:dyDescent="0.35">
      <c r="B271" t="s">
        <v>33</v>
      </c>
      <c r="U271" t="e">
        <f>SUMPRODUCT(D$1:S$1, D271:S271) / SUM(D271:S271)</f>
        <v>#DIV/0!</v>
      </c>
      <c r="V271">
        <f>SUM(D271:S271)</f>
        <v>0</v>
      </c>
    </row>
    <row r="272" spans="1:22" x14ac:dyDescent="0.35">
      <c r="B272" t="s">
        <v>32</v>
      </c>
      <c r="U272" t="e">
        <f>SUMPRODUCT(D$1:S$1, D272:S272) / SUM(D272:S272)</f>
        <v>#DIV/0!</v>
      </c>
      <c r="V272">
        <f>SUM(D272:S272)</f>
        <v>0</v>
      </c>
    </row>
    <row r="273" spans="1:22" x14ac:dyDescent="0.35">
      <c r="B273" t="s">
        <v>31</v>
      </c>
      <c r="U273" t="e">
        <f>SUMPRODUCT(D$1:S$1, D273:S273) / SUM(D273:S273)</f>
        <v>#DIV/0!</v>
      </c>
      <c r="V273">
        <f>SUM(D273:S273)</f>
        <v>0</v>
      </c>
    </row>
    <row r="275" spans="1:22" x14ac:dyDescent="0.35">
      <c r="A275" s="6" t="s">
        <v>35</v>
      </c>
      <c r="B275" s="6"/>
    </row>
    <row r="276" spans="1:22" x14ac:dyDescent="0.35">
      <c r="B276" t="s">
        <v>34</v>
      </c>
      <c r="U276" t="e">
        <f>SUMPRODUCT(D$1:S$1, D276:S276) / SUM(D276:S276)</f>
        <v>#DIV/0!</v>
      </c>
      <c r="V276">
        <f>SUM(D276:S276)</f>
        <v>0</v>
      </c>
    </row>
    <row r="277" spans="1:22" x14ac:dyDescent="0.35">
      <c r="B277" t="s">
        <v>33</v>
      </c>
      <c r="U277" t="e">
        <f>SUMPRODUCT(D$1:S$1, D277:S277) / SUM(D277:S277)</f>
        <v>#DIV/0!</v>
      </c>
      <c r="V277">
        <f>SUM(D277:S277)</f>
        <v>0</v>
      </c>
    </row>
    <row r="278" spans="1:22" x14ac:dyDescent="0.35">
      <c r="B278" t="s">
        <v>32</v>
      </c>
      <c r="U278" t="e">
        <f>SUMPRODUCT(D$1:S$1, D278:S278) / SUM(D278:S278)</f>
        <v>#DIV/0!</v>
      </c>
      <c r="V278">
        <f>SUM(D278:S278)</f>
        <v>0</v>
      </c>
    </row>
    <row r="279" spans="1:22" x14ac:dyDescent="0.35">
      <c r="B279" t="s">
        <v>31</v>
      </c>
      <c r="U279" t="e">
        <f>SUMPRODUCT(D$1:S$1, D279:S279) / SUM(D279:S279)</f>
        <v>#DIV/0!</v>
      </c>
      <c r="V279">
        <f>SUM(D279:S279)</f>
        <v>0</v>
      </c>
    </row>
    <row r="281" spans="1:22" x14ac:dyDescent="0.35">
      <c r="A281" s="6" t="s">
        <v>51</v>
      </c>
      <c r="B281" s="6" t="s">
        <v>50</v>
      </c>
    </row>
    <row r="282" spans="1:22" x14ac:dyDescent="0.35">
      <c r="B282" t="s">
        <v>34</v>
      </c>
      <c r="C282" t="s">
        <v>3</v>
      </c>
      <c r="U282" t="e">
        <f>SUMPRODUCT(D$1:S$1, D282:S282) / SUM(D282:S282)</f>
        <v>#DIV/0!</v>
      </c>
      <c r="V282">
        <f>SUM(D282:S282)</f>
        <v>0</v>
      </c>
    </row>
    <row r="283" spans="1:22" x14ac:dyDescent="0.35">
      <c r="B283" t="s">
        <v>33</v>
      </c>
      <c r="C283" t="s">
        <v>0</v>
      </c>
      <c r="U283" t="e">
        <f>SUMPRODUCT(D$1:S$1, D283:S283) / SUM(D283:S283)</f>
        <v>#DIV/0!</v>
      </c>
      <c r="V283">
        <f>SUM(D283:S283)</f>
        <v>0</v>
      </c>
    </row>
    <row r="285" spans="1:22" x14ac:dyDescent="0.35">
      <c r="B285" s="6" t="s">
        <v>49</v>
      </c>
    </row>
    <row r="286" spans="1:22" x14ac:dyDescent="0.35">
      <c r="B286" t="s">
        <v>32</v>
      </c>
      <c r="C286" t="s">
        <v>0</v>
      </c>
      <c r="U286" t="e">
        <f>SUMPRODUCT(D$1:S$1, D286:S286) / SUM(D286:S286)</f>
        <v>#DIV/0!</v>
      </c>
      <c r="V286">
        <f>SUM(D286:S286)</f>
        <v>0</v>
      </c>
    </row>
    <row r="287" spans="1:22" x14ac:dyDescent="0.35">
      <c r="B287" t="s">
        <v>31</v>
      </c>
      <c r="C287" t="s">
        <v>3</v>
      </c>
      <c r="U287" t="e">
        <f>SUMPRODUCT(D$1:S$1, D287:S287) / SUM(D287:S287)</f>
        <v>#DIV/0!</v>
      </c>
      <c r="V287">
        <f>SUM(D287:S287)</f>
        <v>0</v>
      </c>
    </row>
    <row r="289" spans="1:22" x14ac:dyDescent="0.35">
      <c r="A289" s="6" t="s">
        <v>48</v>
      </c>
      <c r="B289" s="6" t="s">
        <v>47</v>
      </c>
    </row>
    <row r="290" spans="1:22" x14ac:dyDescent="0.35">
      <c r="B290" t="s">
        <v>34</v>
      </c>
      <c r="C290" t="s">
        <v>3</v>
      </c>
      <c r="U290" t="e">
        <f>SUMPRODUCT(D$1:S$1, D290:S290) / SUM(D290:S290)</f>
        <v>#DIV/0!</v>
      </c>
      <c r="V290">
        <f>SUM(D290:S290)</f>
        <v>0</v>
      </c>
    </row>
    <row r="291" spans="1:22" x14ac:dyDescent="0.35">
      <c r="B291" t="s">
        <v>33</v>
      </c>
      <c r="C291" t="s">
        <v>0</v>
      </c>
      <c r="U291" t="e">
        <f>SUMPRODUCT(D$1:S$1, D291:S291) / SUM(D291:S291)</f>
        <v>#DIV/0!</v>
      </c>
      <c r="V291">
        <f>SUM(D291:S291)</f>
        <v>0</v>
      </c>
    </row>
    <row r="293" spans="1:22" x14ac:dyDescent="0.35">
      <c r="B293" s="6" t="s">
        <v>46</v>
      </c>
    </row>
    <row r="294" spans="1:22" x14ac:dyDescent="0.35">
      <c r="B294" t="s">
        <v>32</v>
      </c>
      <c r="C294" t="s">
        <v>0</v>
      </c>
      <c r="U294" t="e">
        <f>SUMPRODUCT(D$1:S$1, D294:S294) / SUM(D294:S294)</f>
        <v>#DIV/0!</v>
      </c>
      <c r="V294">
        <f>SUM(D294:S294)</f>
        <v>0</v>
      </c>
    </row>
    <row r="295" spans="1:22" s="3" customFormat="1" x14ac:dyDescent="0.35">
      <c r="B295" s="3" t="s">
        <v>31</v>
      </c>
      <c r="C295" s="3" t="s">
        <v>3</v>
      </c>
      <c r="U295" s="3" t="e">
        <f>SUMPRODUCT(D$1:S$1, D295:S295) / SUM(D295:S295)</f>
        <v>#DIV/0!</v>
      </c>
      <c r="V295" s="3">
        <f>SUM(D295:S295)</f>
        <v>0</v>
      </c>
    </row>
    <row r="296" spans="1:22" ht="15" thickBot="1" x14ac:dyDescent="0.4"/>
    <row r="297" spans="1:22" ht="15.5" thickTop="1" thickBot="1" x14ac:dyDescent="0.4">
      <c r="A297" s="8" t="s">
        <v>45</v>
      </c>
      <c r="B297" s="8" t="s">
        <v>39</v>
      </c>
      <c r="C297" s="8" t="s">
        <v>9</v>
      </c>
      <c r="D297" s="8">
        <v>1</v>
      </c>
      <c r="E297" s="8">
        <v>2</v>
      </c>
      <c r="F297" s="8">
        <v>3</v>
      </c>
      <c r="G297" s="8">
        <v>4</v>
      </c>
      <c r="H297" s="8">
        <v>5</v>
      </c>
      <c r="I297" s="8">
        <v>6</v>
      </c>
      <c r="J297" s="8">
        <v>7</v>
      </c>
      <c r="K297" s="8">
        <v>8</v>
      </c>
      <c r="L297" s="8">
        <v>9</v>
      </c>
      <c r="M297" s="8">
        <v>10</v>
      </c>
      <c r="N297" s="8">
        <v>11</v>
      </c>
      <c r="O297" s="8">
        <v>12</v>
      </c>
      <c r="P297" s="8">
        <v>13</v>
      </c>
      <c r="Q297" s="8">
        <v>14</v>
      </c>
      <c r="R297" s="8">
        <v>15</v>
      </c>
      <c r="S297" s="8">
        <v>16</v>
      </c>
      <c r="T297" s="7"/>
      <c r="U297" s="7"/>
      <c r="V297" s="7"/>
    </row>
    <row r="298" spans="1:22" ht="15" thickTop="1" x14ac:dyDescent="0.35">
      <c r="A298" s="6" t="s">
        <v>38</v>
      </c>
      <c r="B298" s="6"/>
    </row>
    <row r="299" spans="1:22" x14ac:dyDescent="0.35">
      <c r="B299" t="s">
        <v>34</v>
      </c>
      <c r="U299" t="e">
        <f>SUMPRODUCT(D$1:S$1, D299:S299) / SUM(D299:S299)</f>
        <v>#DIV/0!</v>
      </c>
      <c r="V299">
        <f>SUM(D299:S299)</f>
        <v>0</v>
      </c>
    </row>
    <row r="300" spans="1:22" x14ac:dyDescent="0.35">
      <c r="B300" t="s">
        <v>33</v>
      </c>
      <c r="U300" t="e">
        <f>SUMPRODUCT(D$1:S$1, D300:S300) / SUM(D300:S300)</f>
        <v>#DIV/0!</v>
      </c>
      <c r="V300">
        <f>SUM(D300:S300)</f>
        <v>0</v>
      </c>
    </row>
    <row r="301" spans="1:22" x14ac:dyDescent="0.35">
      <c r="B301" t="s">
        <v>32</v>
      </c>
      <c r="U301" t="e">
        <f>SUMPRODUCT(D$1:S$1, D301:S301) / SUM(D301:S301)</f>
        <v>#DIV/0!</v>
      </c>
      <c r="V301">
        <f>SUM(D301:S301)</f>
        <v>0</v>
      </c>
    </row>
    <row r="302" spans="1:22" x14ac:dyDescent="0.35">
      <c r="B302" t="s">
        <v>31</v>
      </c>
      <c r="U302" t="e">
        <f>SUMPRODUCT(D$1:S$1, D302:S302) / SUM(D302:S302)</f>
        <v>#DIV/0!</v>
      </c>
      <c r="V302">
        <f>SUM(D302:S302)</f>
        <v>0</v>
      </c>
    </row>
    <row r="304" spans="1:22" x14ac:dyDescent="0.35">
      <c r="A304" s="6" t="s">
        <v>37</v>
      </c>
      <c r="B304" s="6"/>
    </row>
    <row r="305" spans="1:22" x14ac:dyDescent="0.35">
      <c r="B305" t="s">
        <v>34</v>
      </c>
      <c r="U305" t="e">
        <f>SUMPRODUCT(D$1:S$1, D305:S305) / SUM(D305:S305)</f>
        <v>#DIV/0!</v>
      </c>
      <c r="V305">
        <f>SUM(D305:S305)</f>
        <v>0</v>
      </c>
    </row>
    <row r="306" spans="1:22" x14ac:dyDescent="0.35">
      <c r="B306" t="s">
        <v>33</v>
      </c>
      <c r="U306" t="e">
        <f>SUMPRODUCT(D$1:S$1, D306:S306) / SUM(D306:S306)</f>
        <v>#DIV/0!</v>
      </c>
      <c r="V306">
        <f>SUM(D306:S306)</f>
        <v>0</v>
      </c>
    </row>
    <row r="307" spans="1:22" x14ac:dyDescent="0.35">
      <c r="B307" t="s">
        <v>32</v>
      </c>
      <c r="U307" t="e">
        <f>SUMPRODUCT(D$1:S$1, D307:S307) / SUM(D307:S307)</f>
        <v>#DIV/0!</v>
      </c>
      <c r="V307">
        <f>SUM(D307:S307)</f>
        <v>0</v>
      </c>
    </row>
    <row r="308" spans="1:22" x14ac:dyDescent="0.35">
      <c r="A308" s="3"/>
      <c r="B308" s="3" t="s">
        <v>31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 t="e">
        <f>SUMPRODUCT(D$1:S$1, D308:S308) / SUM(D308:S308)</f>
        <v>#DIV/0!</v>
      </c>
      <c r="V308" s="3">
        <f>SUM(D308:S308)</f>
        <v>0</v>
      </c>
    </row>
    <row r="309" spans="1:22" x14ac:dyDescent="0.35">
      <c r="A309" s="6" t="s">
        <v>36</v>
      </c>
      <c r="B309" s="6"/>
    </row>
    <row r="310" spans="1:22" x14ac:dyDescent="0.35">
      <c r="B310" t="s">
        <v>34</v>
      </c>
      <c r="U310" t="e">
        <f>SUMPRODUCT(D$1:S$1, D310:S310) / SUM(D310:S310)</f>
        <v>#DIV/0!</v>
      </c>
      <c r="V310">
        <f>SUM(D310:S310)</f>
        <v>0</v>
      </c>
    </row>
    <row r="311" spans="1:22" x14ac:dyDescent="0.35">
      <c r="B311" t="s">
        <v>33</v>
      </c>
      <c r="U311" t="e">
        <f>SUMPRODUCT(D$1:S$1, D311:S311) / SUM(D311:S311)</f>
        <v>#DIV/0!</v>
      </c>
      <c r="V311">
        <f>SUM(D311:S311)</f>
        <v>0</v>
      </c>
    </row>
    <row r="312" spans="1:22" x14ac:dyDescent="0.35">
      <c r="B312" t="s">
        <v>32</v>
      </c>
      <c r="U312" t="e">
        <f>SUMPRODUCT(D$1:S$1, D312:S312) / SUM(D312:S312)</f>
        <v>#DIV/0!</v>
      </c>
      <c r="V312">
        <f>SUM(D312:S312)</f>
        <v>0</v>
      </c>
    </row>
    <row r="313" spans="1:22" x14ac:dyDescent="0.35">
      <c r="B313" t="s">
        <v>31</v>
      </c>
      <c r="U313" t="e">
        <f>SUMPRODUCT(D$1:S$1, D313:S313) / SUM(D313:S313)</f>
        <v>#DIV/0!</v>
      </c>
      <c r="V313">
        <f>SUM(D313:S313)</f>
        <v>0</v>
      </c>
    </row>
    <row r="315" spans="1:22" x14ac:dyDescent="0.35">
      <c r="A315" s="6" t="s">
        <v>35</v>
      </c>
      <c r="B315" s="6"/>
    </row>
    <row r="316" spans="1:22" x14ac:dyDescent="0.35">
      <c r="B316" t="s">
        <v>34</v>
      </c>
      <c r="U316" t="e">
        <f>SUMPRODUCT(D$1:S$1, D316:S316) / SUM(D316:S316)</f>
        <v>#DIV/0!</v>
      </c>
      <c r="V316">
        <f>SUM(D316:S316)</f>
        <v>0</v>
      </c>
    </row>
    <row r="317" spans="1:22" x14ac:dyDescent="0.35">
      <c r="B317" t="s">
        <v>33</v>
      </c>
      <c r="U317" t="e">
        <f>SUMPRODUCT(D$1:S$1, D317:S317) / SUM(D317:S317)</f>
        <v>#DIV/0!</v>
      </c>
      <c r="V317">
        <f>SUM(D317:S317)</f>
        <v>0</v>
      </c>
    </row>
    <row r="318" spans="1:22" x14ac:dyDescent="0.35">
      <c r="B318" t="s">
        <v>32</v>
      </c>
      <c r="U318" t="e">
        <f>SUMPRODUCT(D$1:S$1, D318:S318) / SUM(D318:S318)</f>
        <v>#DIV/0!</v>
      </c>
      <c r="V318">
        <f>SUM(D318:S318)</f>
        <v>0</v>
      </c>
    </row>
    <row r="319" spans="1:22" x14ac:dyDescent="0.35">
      <c r="A319" s="3"/>
      <c r="B319" s="3" t="s">
        <v>31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 t="e">
        <f>SUMPRODUCT(D$1:S$1, D319:S319) / SUM(D319:S319)</f>
        <v>#DIV/0!</v>
      </c>
      <c r="V319" s="3">
        <f>SUM(D319:S319)</f>
        <v>0</v>
      </c>
    </row>
    <row r="320" spans="1:22" ht="15" thickBot="1" x14ac:dyDescent="0.4"/>
    <row r="321" spans="1:22" ht="15.5" thickTop="1" thickBot="1" x14ac:dyDescent="0.4">
      <c r="A321" s="8" t="s">
        <v>44</v>
      </c>
      <c r="B321" s="8" t="s">
        <v>39</v>
      </c>
      <c r="C321" s="8" t="s">
        <v>9</v>
      </c>
      <c r="D321" s="8">
        <v>1</v>
      </c>
      <c r="E321" s="8">
        <v>2</v>
      </c>
      <c r="F321" s="8">
        <v>3</v>
      </c>
      <c r="G321" s="8">
        <v>4</v>
      </c>
      <c r="H321" s="8">
        <v>5</v>
      </c>
      <c r="I321" s="8">
        <v>6</v>
      </c>
      <c r="J321" s="8">
        <v>7</v>
      </c>
      <c r="K321" s="8">
        <v>8</v>
      </c>
      <c r="L321" s="8">
        <v>9</v>
      </c>
      <c r="M321" s="8">
        <v>10</v>
      </c>
      <c r="N321" s="8">
        <v>11</v>
      </c>
      <c r="O321" s="8">
        <v>12</v>
      </c>
      <c r="P321" s="8">
        <v>13</v>
      </c>
      <c r="Q321" s="8">
        <v>14</v>
      </c>
      <c r="R321" s="8">
        <v>15</v>
      </c>
      <c r="S321" s="8">
        <v>16</v>
      </c>
      <c r="T321" s="7"/>
      <c r="U321" s="7"/>
      <c r="V321" s="7"/>
    </row>
    <row r="322" spans="1:22" ht="15" thickTop="1" x14ac:dyDescent="0.35">
      <c r="A322" s="6" t="s">
        <v>38</v>
      </c>
      <c r="B322" s="6"/>
    </row>
    <row r="323" spans="1:22" x14ac:dyDescent="0.35">
      <c r="B323" t="s">
        <v>34</v>
      </c>
      <c r="U323" t="e">
        <f>SUMPRODUCT(D$1:S$1, D323:S323) / SUM(D323:S323)</f>
        <v>#DIV/0!</v>
      </c>
      <c r="V323">
        <f>SUM(D323:S323)</f>
        <v>0</v>
      </c>
    </row>
    <row r="324" spans="1:22" x14ac:dyDescent="0.35">
      <c r="B324" t="s">
        <v>33</v>
      </c>
      <c r="U324" t="e">
        <f>SUMPRODUCT(D$1:S$1, D324:S324) / SUM(D324:S324)</f>
        <v>#DIV/0!</v>
      </c>
      <c r="V324">
        <f>SUM(D324:S324)</f>
        <v>0</v>
      </c>
    </row>
    <row r="325" spans="1:22" x14ac:dyDescent="0.35">
      <c r="B325" t="s">
        <v>32</v>
      </c>
      <c r="U325" t="e">
        <f>SUMPRODUCT(D$1:S$1, D325:S325) / SUM(D325:S325)</f>
        <v>#DIV/0!</v>
      </c>
      <c r="V325">
        <f>SUM(D325:S325)</f>
        <v>0</v>
      </c>
    </row>
    <row r="326" spans="1:22" x14ac:dyDescent="0.35">
      <c r="B326" t="s">
        <v>31</v>
      </c>
      <c r="U326" t="e">
        <f>SUMPRODUCT(D$1:S$1, D326:S326) / SUM(D326:S326)</f>
        <v>#DIV/0!</v>
      </c>
      <c r="V326">
        <f>SUM(D326:S326)</f>
        <v>0</v>
      </c>
    </row>
    <row r="328" spans="1:22" x14ac:dyDescent="0.35">
      <c r="A328" s="6" t="s">
        <v>37</v>
      </c>
      <c r="B328" s="6"/>
    </row>
    <row r="329" spans="1:22" x14ac:dyDescent="0.35">
      <c r="B329" t="s">
        <v>34</v>
      </c>
      <c r="U329" t="e">
        <f>SUMPRODUCT(D$1:S$1, D329:S329) / SUM(D329:S329)</f>
        <v>#DIV/0!</v>
      </c>
      <c r="V329">
        <f>SUM(D329:S329)</f>
        <v>0</v>
      </c>
    </row>
    <row r="330" spans="1:22" x14ac:dyDescent="0.35">
      <c r="B330" t="s">
        <v>33</v>
      </c>
      <c r="U330" t="e">
        <f>SUMPRODUCT(D$1:S$1, D330:S330) / SUM(D330:S330)</f>
        <v>#DIV/0!</v>
      </c>
      <c r="V330">
        <f>SUM(D330:S330)</f>
        <v>0</v>
      </c>
    </row>
    <row r="331" spans="1:22" x14ac:dyDescent="0.35">
      <c r="B331" t="s">
        <v>32</v>
      </c>
      <c r="U331" t="e">
        <f>SUMPRODUCT(D$1:S$1, D331:S331) / SUM(D331:S331)</f>
        <v>#DIV/0!</v>
      </c>
      <c r="V331">
        <f>SUM(D331:S331)</f>
        <v>0</v>
      </c>
    </row>
    <row r="332" spans="1:22" x14ac:dyDescent="0.35">
      <c r="A332" s="3"/>
      <c r="B332" s="3" t="s">
        <v>31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 t="e">
        <f>SUMPRODUCT(D$1:S$1, D332:S332) / SUM(D332:S332)</f>
        <v>#DIV/0!</v>
      </c>
      <c r="V332" s="3">
        <f>SUM(D332:S332)</f>
        <v>0</v>
      </c>
    </row>
    <row r="333" spans="1:22" x14ac:dyDescent="0.35">
      <c r="A333" s="6" t="s">
        <v>36</v>
      </c>
      <c r="B333" s="6"/>
    </row>
    <row r="334" spans="1:22" x14ac:dyDescent="0.35">
      <c r="B334" t="s">
        <v>34</v>
      </c>
      <c r="U334" t="e">
        <f>SUMPRODUCT(D$1:S$1, D334:S334) / SUM(D334:S334)</f>
        <v>#DIV/0!</v>
      </c>
      <c r="V334">
        <f>SUM(D334:S334)</f>
        <v>0</v>
      </c>
    </row>
    <row r="335" spans="1:22" x14ac:dyDescent="0.35">
      <c r="B335" t="s">
        <v>33</v>
      </c>
      <c r="U335" t="e">
        <f>SUMPRODUCT(D$1:S$1, D335:S335) / SUM(D335:S335)</f>
        <v>#DIV/0!</v>
      </c>
      <c r="V335">
        <f>SUM(D335:S335)</f>
        <v>0</v>
      </c>
    </row>
    <row r="336" spans="1:22" x14ac:dyDescent="0.35">
      <c r="B336" t="s">
        <v>32</v>
      </c>
      <c r="U336" t="e">
        <f>SUMPRODUCT(D$1:S$1, D336:S336) / SUM(D336:S336)</f>
        <v>#DIV/0!</v>
      </c>
      <c r="V336">
        <f>SUM(D336:S336)</f>
        <v>0</v>
      </c>
    </row>
    <row r="337" spans="1:22" x14ac:dyDescent="0.35">
      <c r="B337" t="s">
        <v>31</v>
      </c>
      <c r="U337" t="e">
        <f>SUMPRODUCT(D$1:S$1, D337:S337) / SUM(D337:S337)</f>
        <v>#DIV/0!</v>
      </c>
      <c r="V337">
        <f>SUM(D337:S337)</f>
        <v>0</v>
      </c>
    </row>
    <row r="339" spans="1:22" x14ac:dyDescent="0.35">
      <c r="A339" s="6" t="s">
        <v>35</v>
      </c>
      <c r="B339" s="6"/>
    </row>
    <row r="340" spans="1:22" x14ac:dyDescent="0.35">
      <c r="B340" t="s">
        <v>34</v>
      </c>
      <c r="U340" t="e">
        <f>SUMPRODUCT(D$1:S$1, D340:S340) / SUM(D340:S340)</f>
        <v>#DIV/0!</v>
      </c>
      <c r="V340">
        <f>SUM(D340:S340)</f>
        <v>0</v>
      </c>
    </row>
    <row r="341" spans="1:22" x14ac:dyDescent="0.35">
      <c r="B341" t="s">
        <v>33</v>
      </c>
      <c r="U341" t="e">
        <f>SUMPRODUCT(D$1:S$1, D341:S341) / SUM(D341:S341)</f>
        <v>#DIV/0!</v>
      </c>
      <c r="V341">
        <f>SUM(D341:S341)</f>
        <v>0</v>
      </c>
    </row>
    <row r="342" spans="1:22" x14ac:dyDescent="0.35">
      <c r="B342" t="s">
        <v>32</v>
      </c>
      <c r="U342" t="e">
        <f>SUMPRODUCT(D$1:S$1, D342:S342) / SUM(D342:S342)</f>
        <v>#DIV/0!</v>
      </c>
      <c r="V342">
        <f>SUM(D342:S342)</f>
        <v>0</v>
      </c>
    </row>
    <row r="343" spans="1:22" x14ac:dyDescent="0.35">
      <c r="A343" s="3"/>
      <c r="B343" s="3" t="s">
        <v>31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 t="e">
        <f>SUMPRODUCT(D$1:S$1, D343:S343) / SUM(D343:S343)</f>
        <v>#DIV/0!</v>
      </c>
      <c r="V343" s="3">
        <f>SUM(D343:S343)</f>
        <v>0</v>
      </c>
    </row>
    <row r="344" spans="1:22" ht="15" thickBot="1" x14ac:dyDescent="0.4"/>
    <row r="345" spans="1:22" ht="15.5" thickTop="1" thickBot="1" x14ac:dyDescent="0.4">
      <c r="A345" s="8" t="s">
        <v>43</v>
      </c>
      <c r="B345" s="8" t="s">
        <v>39</v>
      </c>
      <c r="C345" s="8" t="s">
        <v>9</v>
      </c>
      <c r="D345" s="8">
        <v>1</v>
      </c>
      <c r="E345" s="8">
        <v>2</v>
      </c>
      <c r="F345" s="8">
        <v>3</v>
      </c>
      <c r="G345" s="8">
        <v>4</v>
      </c>
      <c r="H345" s="8">
        <v>5</v>
      </c>
      <c r="I345" s="8">
        <v>6</v>
      </c>
      <c r="J345" s="8">
        <v>7</v>
      </c>
      <c r="K345" s="8">
        <v>8</v>
      </c>
      <c r="L345" s="8">
        <v>9</v>
      </c>
      <c r="M345" s="8">
        <v>10</v>
      </c>
      <c r="N345" s="8">
        <v>11</v>
      </c>
      <c r="O345" s="8">
        <v>12</v>
      </c>
      <c r="P345" s="8">
        <v>13</v>
      </c>
      <c r="Q345" s="8">
        <v>14</v>
      </c>
      <c r="R345" s="8">
        <v>15</v>
      </c>
      <c r="S345" s="8">
        <v>16</v>
      </c>
      <c r="T345" s="7"/>
      <c r="U345" s="7"/>
      <c r="V345" s="7"/>
    </row>
    <row r="346" spans="1:22" ht="15" thickTop="1" x14ac:dyDescent="0.35">
      <c r="A346" s="6" t="s">
        <v>38</v>
      </c>
      <c r="B346" s="6"/>
    </row>
    <row r="347" spans="1:22" x14ac:dyDescent="0.35">
      <c r="B347" t="s">
        <v>34</v>
      </c>
      <c r="U347" t="e">
        <f>SUMPRODUCT(D$1:S$1, D347:S347) / SUM(D347:S347)</f>
        <v>#DIV/0!</v>
      </c>
      <c r="V347">
        <f>SUM(D347:S347)</f>
        <v>0</v>
      </c>
    </row>
    <row r="348" spans="1:22" x14ac:dyDescent="0.35">
      <c r="B348" t="s">
        <v>33</v>
      </c>
      <c r="U348" t="e">
        <f>SUMPRODUCT(D$1:S$1, D348:S348) / SUM(D348:S348)</f>
        <v>#DIV/0!</v>
      </c>
      <c r="V348">
        <f>SUM(D348:S348)</f>
        <v>0</v>
      </c>
    </row>
    <row r="349" spans="1:22" x14ac:dyDescent="0.35">
      <c r="B349" t="s">
        <v>32</v>
      </c>
      <c r="U349" t="e">
        <f>SUMPRODUCT(D$1:S$1, D349:S349) / SUM(D349:S349)</f>
        <v>#DIV/0!</v>
      </c>
      <c r="V349">
        <f>SUM(D349:S349)</f>
        <v>0</v>
      </c>
    </row>
    <row r="350" spans="1:22" x14ac:dyDescent="0.35">
      <c r="B350" t="s">
        <v>31</v>
      </c>
      <c r="U350" t="e">
        <f>SUMPRODUCT(D$1:S$1, D350:S350) / SUM(D350:S350)</f>
        <v>#DIV/0!</v>
      </c>
      <c r="V350">
        <f>SUM(D350:S350)</f>
        <v>0</v>
      </c>
    </row>
    <row r="352" spans="1:22" x14ac:dyDescent="0.35">
      <c r="A352" s="6" t="s">
        <v>37</v>
      </c>
      <c r="B352" s="6"/>
    </row>
    <row r="353" spans="1:22" x14ac:dyDescent="0.35">
      <c r="B353" t="s">
        <v>34</v>
      </c>
      <c r="U353" t="e">
        <f>SUMPRODUCT(D$1:S$1, D353:S353) / SUM(D353:S353)</f>
        <v>#DIV/0!</v>
      </c>
      <c r="V353">
        <f>SUM(D353:S353)</f>
        <v>0</v>
      </c>
    </row>
    <row r="354" spans="1:22" x14ac:dyDescent="0.35">
      <c r="B354" t="s">
        <v>33</v>
      </c>
      <c r="U354" t="e">
        <f>SUMPRODUCT(D$1:S$1, D354:S354) / SUM(D354:S354)</f>
        <v>#DIV/0!</v>
      </c>
      <c r="V354">
        <f>SUM(D354:S354)</f>
        <v>0</v>
      </c>
    </row>
    <row r="355" spans="1:22" x14ac:dyDescent="0.35">
      <c r="B355" t="s">
        <v>32</v>
      </c>
      <c r="U355" t="e">
        <f>SUMPRODUCT(D$1:S$1, D355:S355) / SUM(D355:S355)</f>
        <v>#DIV/0!</v>
      </c>
      <c r="V355">
        <f>SUM(D355:S355)</f>
        <v>0</v>
      </c>
    </row>
    <row r="356" spans="1:22" x14ac:dyDescent="0.35">
      <c r="A356" s="3"/>
      <c r="B356" s="3" t="s">
        <v>31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 t="e">
        <f>SUMPRODUCT(D$1:S$1, D356:S356) / SUM(D356:S356)</f>
        <v>#DIV/0!</v>
      </c>
      <c r="V356" s="3">
        <f>SUM(D356:S356)</f>
        <v>0</v>
      </c>
    </row>
    <row r="357" spans="1:22" x14ac:dyDescent="0.35">
      <c r="A357" s="6" t="s">
        <v>36</v>
      </c>
      <c r="B357" s="6"/>
    </row>
    <row r="358" spans="1:22" x14ac:dyDescent="0.35">
      <c r="B358" t="s">
        <v>34</v>
      </c>
      <c r="U358" t="e">
        <f>SUMPRODUCT(D$1:S$1, D358:S358) / SUM(D358:S358)</f>
        <v>#DIV/0!</v>
      </c>
      <c r="V358">
        <f>SUM(D358:S358)</f>
        <v>0</v>
      </c>
    </row>
    <row r="359" spans="1:22" x14ac:dyDescent="0.35">
      <c r="B359" t="s">
        <v>33</v>
      </c>
      <c r="U359" t="e">
        <f>SUMPRODUCT(D$1:S$1, D359:S359) / SUM(D359:S359)</f>
        <v>#DIV/0!</v>
      </c>
      <c r="V359">
        <f>SUM(D359:S359)</f>
        <v>0</v>
      </c>
    </row>
    <row r="360" spans="1:22" x14ac:dyDescent="0.35">
      <c r="B360" t="s">
        <v>32</v>
      </c>
      <c r="U360" t="e">
        <f>SUMPRODUCT(D$1:S$1, D360:S360) / SUM(D360:S360)</f>
        <v>#DIV/0!</v>
      </c>
      <c r="V360">
        <f>SUM(D360:S360)</f>
        <v>0</v>
      </c>
    </row>
    <row r="361" spans="1:22" x14ac:dyDescent="0.35">
      <c r="B361" t="s">
        <v>31</v>
      </c>
      <c r="U361" t="e">
        <f>SUMPRODUCT(D$1:S$1, D361:S361) / SUM(D361:S361)</f>
        <v>#DIV/0!</v>
      </c>
      <c r="V361">
        <f>SUM(D361:S361)</f>
        <v>0</v>
      </c>
    </row>
    <row r="363" spans="1:22" x14ac:dyDescent="0.35">
      <c r="A363" s="6" t="s">
        <v>35</v>
      </c>
      <c r="B363" s="6"/>
    </row>
    <row r="364" spans="1:22" x14ac:dyDescent="0.35">
      <c r="B364" t="s">
        <v>34</v>
      </c>
      <c r="U364" t="e">
        <f>SUMPRODUCT(D$1:S$1, D364:S364) / SUM(D364:S364)</f>
        <v>#DIV/0!</v>
      </c>
      <c r="V364">
        <f>SUM(D364:S364)</f>
        <v>0</v>
      </c>
    </row>
    <row r="365" spans="1:22" x14ac:dyDescent="0.35">
      <c r="B365" t="s">
        <v>33</v>
      </c>
      <c r="U365" t="e">
        <f>SUMPRODUCT(D$1:S$1, D365:S365) / SUM(D365:S365)</f>
        <v>#DIV/0!</v>
      </c>
      <c r="V365">
        <f>SUM(D365:S365)</f>
        <v>0</v>
      </c>
    </row>
    <row r="366" spans="1:22" x14ac:dyDescent="0.35">
      <c r="B366" t="s">
        <v>32</v>
      </c>
      <c r="U366" t="e">
        <f>SUMPRODUCT(D$1:S$1, D366:S366) / SUM(D366:S366)</f>
        <v>#DIV/0!</v>
      </c>
      <c r="V366">
        <f>SUM(D366:S366)</f>
        <v>0</v>
      </c>
    </row>
    <row r="367" spans="1:22" x14ac:dyDescent="0.35">
      <c r="A367" s="3"/>
      <c r="B367" s="3" t="s">
        <v>31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 t="e">
        <f>SUMPRODUCT(D$1:S$1, D367:S367) / SUM(D367:S367)</f>
        <v>#DIV/0!</v>
      </c>
      <c r="V367" s="3">
        <f>SUM(D367:S367)</f>
        <v>0</v>
      </c>
    </row>
    <row r="368" spans="1:22" ht="15" thickBot="1" x14ac:dyDescent="0.4"/>
    <row r="369" spans="1:22" ht="15.5" thickTop="1" thickBot="1" x14ac:dyDescent="0.4">
      <c r="A369" s="8" t="s">
        <v>42</v>
      </c>
      <c r="B369" s="8" t="s">
        <v>39</v>
      </c>
      <c r="C369" s="8" t="s">
        <v>9</v>
      </c>
      <c r="D369" s="8">
        <v>1</v>
      </c>
      <c r="E369" s="8">
        <v>2</v>
      </c>
      <c r="F369" s="8">
        <v>3</v>
      </c>
      <c r="G369" s="8">
        <v>4</v>
      </c>
      <c r="H369" s="8">
        <v>5</v>
      </c>
      <c r="I369" s="8">
        <v>6</v>
      </c>
      <c r="J369" s="8">
        <v>7</v>
      </c>
      <c r="K369" s="8">
        <v>8</v>
      </c>
      <c r="L369" s="8">
        <v>9</v>
      </c>
      <c r="M369" s="8">
        <v>10</v>
      </c>
      <c r="N369" s="8">
        <v>11</v>
      </c>
      <c r="O369" s="8">
        <v>12</v>
      </c>
      <c r="P369" s="8">
        <v>13</v>
      </c>
      <c r="Q369" s="8">
        <v>14</v>
      </c>
      <c r="R369" s="8">
        <v>15</v>
      </c>
      <c r="S369" s="8">
        <v>16</v>
      </c>
      <c r="T369" s="7"/>
      <c r="U369" s="7"/>
      <c r="V369" s="7"/>
    </row>
    <row r="370" spans="1:22" ht="15" thickTop="1" x14ac:dyDescent="0.35">
      <c r="A370" s="6" t="s">
        <v>38</v>
      </c>
      <c r="B370" s="6"/>
    </row>
    <row r="371" spans="1:22" x14ac:dyDescent="0.35">
      <c r="B371" t="s">
        <v>34</v>
      </c>
      <c r="U371" t="e">
        <f>SUMPRODUCT(D$1:S$1, D371:S371) / SUM(D371:S371)</f>
        <v>#DIV/0!</v>
      </c>
      <c r="V371">
        <f>SUM(D371:S371)</f>
        <v>0</v>
      </c>
    </row>
    <row r="372" spans="1:22" x14ac:dyDescent="0.35">
      <c r="B372" t="s">
        <v>33</v>
      </c>
      <c r="U372" t="e">
        <f>SUMPRODUCT(D$1:S$1, D372:S372) / SUM(D372:S372)</f>
        <v>#DIV/0!</v>
      </c>
      <c r="V372">
        <f>SUM(D372:S372)</f>
        <v>0</v>
      </c>
    </row>
    <row r="373" spans="1:22" x14ac:dyDescent="0.35">
      <c r="B373" t="s">
        <v>32</v>
      </c>
      <c r="U373" t="e">
        <f>SUMPRODUCT(D$1:S$1, D373:S373) / SUM(D373:S373)</f>
        <v>#DIV/0!</v>
      </c>
      <c r="V373">
        <f>SUM(D373:S373)</f>
        <v>0</v>
      </c>
    </row>
    <row r="374" spans="1:22" x14ac:dyDescent="0.35">
      <c r="B374" t="s">
        <v>31</v>
      </c>
      <c r="U374" t="e">
        <f>SUMPRODUCT(D$1:S$1, D374:S374) / SUM(D374:S374)</f>
        <v>#DIV/0!</v>
      </c>
      <c r="V374">
        <f>SUM(D374:S374)</f>
        <v>0</v>
      </c>
    </row>
    <row r="376" spans="1:22" x14ac:dyDescent="0.35">
      <c r="A376" s="6" t="s">
        <v>37</v>
      </c>
      <c r="B376" s="6"/>
    </row>
    <row r="377" spans="1:22" x14ac:dyDescent="0.35">
      <c r="B377" t="s">
        <v>34</v>
      </c>
      <c r="U377" t="e">
        <f>SUMPRODUCT(D$1:S$1, D377:S377) / SUM(D377:S377)</f>
        <v>#DIV/0!</v>
      </c>
      <c r="V377">
        <f>SUM(D377:S377)</f>
        <v>0</v>
      </c>
    </row>
    <row r="378" spans="1:22" x14ac:dyDescent="0.35">
      <c r="B378" t="s">
        <v>33</v>
      </c>
      <c r="U378" t="e">
        <f>SUMPRODUCT(D$1:S$1, D378:S378) / SUM(D378:S378)</f>
        <v>#DIV/0!</v>
      </c>
      <c r="V378">
        <f>SUM(D378:S378)</f>
        <v>0</v>
      </c>
    </row>
    <row r="379" spans="1:22" x14ac:dyDescent="0.35">
      <c r="B379" t="s">
        <v>32</v>
      </c>
      <c r="U379" t="e">
        <f>SUMPRODUCT(D$1:S$1, D379:S379) / SUM(D379:S379)</f>
        <v>#DIV/0!</v>
      </c>
      <c r="V379">
        <f>SUM(D379:S379)</f>
        <v>0</v>
      </c>
    </row>
    <row r="380" spans="1:22" x14ac:dyDescent="0.35">
      <c r="A380" s="3"/>
      <c r="B380" s="3" t="s">
        <v>31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 t="e">
        <f>SUMPRODUCT(D$1:S$1, D380:S380) / SUM(D380:S380)</f>
        <v>#DIV/0!</v>
      </c>
      <c r="V380" s="3">
        <f>SUM(D380:S380)</f>
        <v>0</v>
      </c>
    </row>
    <row r="381" spans="1:22" x14ac:dyDescent="0.35">
      <c r="A381" s="6" t="s">
        <v>36</v>
      </c>
      <c r="B381" s="6"/>
    </row>
    <row r="382" spans="1:22" x14ac:dyDescent="0.35">
      <c r="B382" t="s">
        <v>34</v>
      </c>
      <c r="U382" t="e">
        <f>SUMPRODUCT(D$1:S$1, D382:S382) / SUM(D382:S382)</f>
        <v>#DIV/0!</v>
      </c>
      <c r="V382">
        <f>SUM(D382:S382)</f>
        <v>0</v>
      </c>
    </row>
    <row r="383" spans="1:22" x14ac:dyDescent="0.35">
      <c r="B383" t="s">
        <v>33</v>
      </c>
      <c r="U383" t="e">
        <f>SUMPRODUCT(D$1:S$1, D383:S383) / SUM(D383:S383)</f>
        <v>#DIV/0!</v>
      </c>
      <c r="V383">
        <f>SUM(D383:S383)</f>
        <v>0</v>
      </c>
    </row>
    <row r="384" spans="1:22" x14ac:dyDescent="0.35">
      <c r="B384" t="s">
        <v>32</v>
      </c>
      <c r="U384" t="e">
        <f>SUMPRODUCT(D$1:S$1, D384:S384) / SUM(D384:S384)</f>
        <v>#DIV/0!</v>
      </c>
      <c r="V384">
        <f>SUM(D384:S384)</f>
        <v>0</v>
      </c>
    </row>
    <row r="385" spans="1:22" x14ac:dyDescent="0.35">
      <c r="B385" t="s">
        <v>31</v>
      </c>
      <c r="U385" t="e">
        <f>SUMPRODUCT(D$1:S$1, D385:S385) / SUM(D385:S385)</f>
        <v>#DIV/0!</v>
      </c>
      <c r="V385">
        <f>SUM(D385:S385)</f>
        <v>0</v>
      </c>
    </row>
    <row r="387" spans="1:22" x14ac:dyDescent="0.35">
      <c r="A387" s="6" t="s">
        <v>35</v>
      </c>
      <c r="B387" s="6"/>
    </row>
    <row r="388" spans="1:22" x14ac:dyDescent="0.35">
      <c r="B388" t="s">
        <v>34</v>
      </c>
      <c r="U388" t="e">
        <f>SUMPRODUCT(D$1:S$1, D388:S388) / SUM(D388:S388)</f>
        <v>#DIV/0!</v>
      </c>
      <c r="V388">
        <f>SUM(D388:S388)</f>
        <v>0</v>
      </c>
    </row>
    <row r="389" spans="1:22" x14ac:dyDescent="0.35">
      <c r="B389" t="s">
        <v>33</v>
      </c>
      <c r="U389" t="e">
        <f>SUMPRODUCT(D$1:S$1, D389:S389) / SUM(D389:S389)</f>
        <v>#DIV/0!</v>
      </c>
      <c r="V389">
        <f>SUM(D389:S389)</f>
        <v>0</v>
      </c>
    </row>
    <row r="390" spans="1:22" x14ac:dyDescent="0.35">
      <c r="B390" t="s">
        <v>32</v>
      </c>
      <c r="U390" t="e">
        <f>SUMPRODUCT(D$1:S$1, D390:S390) / SUM(D390:S390)</f>
        <v>#DIV/0!</v>
      </c>
      <c r="V390">
        <f>SUM(D390:S390)</f>
        <v>0</v>
      </c>
    </row>
    <row r="391" spans="1:22" x14ac:dyDescent="0.35">
      <c r="A391" s="3"/>
      <c r="B391" s="3" t="s">
        <v>31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 t="e">
        <f>SUMPRODUCT(D$1:S$1, D391:S391) / SUM(D391:S391)</f>
        <v>#DIV/0!</v>
      </c>
      <c r="V391" s="3">
        <f>SUM(D391:S391)</f>
        <v>0</v>
      </c>
    </row>
    <row r="392" spans="1:22" ht="15" thickBot="1" x14ac:dyDescent="0.4"/>
    <row r="393" spans="1:22" ht="15.5" thickTop="1" thickBot="1" x14ac:dyDescent="0.4">
      <c r="A393" s="8" t="s">
        <v>41</v>
      </c>
      <c r="B393" s="8" t="s">
        <v>39</v>
      </c>
      <c r="C393" s="8" t="s">
        <v>9</v>
      </c>
      <c r="D393" s="8">
        <v>1</v>
      </c>
      <c r="E393" s="8">
        <v>2</v>
      </c>
      <c r="F393" s="8">
        <v>3</v>
      </c>
      <c r="G393" s="8">
        <v>4</v>
      </c>
      <c r="H393" s="8">
        <v>5</v>
      </c>
      <c r="I393" s="8">
        <v>6</v>
      </c>
      <c r="J393" s="8">
        <v>7</v>
      </c>
      <c r="K393" s="8">
        <v>8</v>
      </c>
      <c r="L393" s="8">
        <v>9</v>
      </c>
      <c r="M393" s="8">
        <v>10</v>
      </c>
      <c r="N393" s="8">
        <v>11</v>
      </c>
      <c r="O393" s="8">
        <v>12</v>
      </c>
      <c r="P393" s="8">
        <v>13</v>
      </c>
      <c r="Q393" s="8">
        <v>14</v>
      </c>
      <c r="R393" s="8">
        <v>15</v>
      </c>
      <c r="S393" s="8">
        <v>16</v>
      </c>
      <c r="T393" s="7"/>
      <c r="U393" s="7"/>
      <c r="V393" s="7"/>
    </row>
    <row r="394" spans="1:22" ht="15" thickTop="1" x14ac:dyDescent="0.35">
      <c r="A394" s="6" t="s">
        <v>38</v>
      </c>
      <c r="B394" s="6"/>
    </row>
    <row r="395" spans="1:22" x14ac:dyDescent="0.35">
      <c r="B395" t="s">
        <v>34</v>
      </c>
      <c r="U395" t="e">
        <f>SUMPRODUCT(D$1:S$1, D395:S395) / SUM(D395:S395)</f>
        <v>#DIV/0!</v>
      </c>
      <c r="V395">
        <f>SUM(D395:S395)</f>
        <v>0</v>
      </c>
    </row>
    <row r="396" spans="1:22" x14ac:dyDescent="0.35">
      <c r="B396" t="s">
        <v>33</v>
      </c>
      <c r="U396" t="e">
        <f>SUMPRODUCT(D$1:S$1, D396:S396) / SUM(D396:S396)</f>
        <v>#DIV/0!</v>
      </c>
      <c r="V396">
        <f>SUM(D396:S396)</f>
        <v>0</v>
      </c>
    </row>
    <row r="397" spans="1:22" x14ac:dyDescent="0.35">
      <c r="B397" t="s">
        <v>32</v>
      </c>
      <c r="U397" t="e">
        <f>SUMPRODUCT(D$1:S$1, D397:S397) / SUM(D397:S397)</f>
        <v>#DIV/0!</v>
      </c>
      <c r="V397">
        <f>SUM(D397:S397)</f>
        <v>0</v>
      </c>
    </row>
    <row r="398" spans="1:22" x14ac:dyDescent="0.35">
      <c r="B398" t="s">
        <v>31</v>
      </c>
      <c r="U398" t="e">
        <f>SUMPRODUCT(D$1:S$1, D398:S398) / SUM(D398:S398)</f>
        <v>#DIV/0!</v>
      </c>
      <c r="V398">
        <f>SUM(D398:S398)</f>
        <v>0</v>
      </c>
    </row>
    <row r="400" spans="1:22" x14ac:dyDescent="0.35">
      <c r="A400" s="6" t="s">
        <v>37</v>
      </c>
      <c r="B400" s="6"/>
    </row>
    <row r="401" spans="1:22" x14ac:dyDescent="0.35">
      <c r="B401" t="s">
        <v>34</v>
      </c>
      <c r="U401" t="e">
        <f>SUMPRODUCT(D$1:S$1, D401:S401) / SUM(D401:S401)</f>
        <v>#DIV/0!</v>
      </c>
      <c r="V401">
        <f>SUM(D401:S401)</f>
        <v>0</v>
      </c>
    </row>
    <row r="402" spans="1:22" x14ac:dyDescent="0.35">
      <c r="B402" t="s">
        <v>33</v>
      </c>
      <c r="U402" t="e">
        <f>SUMPRODUCT(D$1:S$1, D402:S402) / SUM(D402:S402)</f>
        <v>#DIV/0!</v>
      </c>
      <c r="V402">
        <f>SUM(D402:S402)</f>
        <v>0</v>
      </c>
    </row>
    <row r="403" spans="1:22" x14ac:dyDescent="0.35">
      <c r="B403" t="s">
        <v>32</v>
      </c>
      <c r="U403" t="e">
        <f>SUMPRODUCT(D$1:S$1, D403:S403) / SUM(D403:S403)</f>
        <v>#DIV/0!</v>
      </c>
      <c r="V403">
        <f>SUM(D403:S403)</f>
        <v>0</v>
      </c>
    </row>
    <row r="404" spans="1:22" x14ac:dyDescent="0.35">
      <c r="A404" s="3"/>
      <c r="B404" s="3" t="s">
        <v>31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 t="e">
        <f>SUMPRODUCT(D$1:S$1, D404:S404) / SUM(D404:S404)</f>
        <v>#DIV/0!</v>
      </c>
      <c r="V404" s="3">
        <f>SUM(D404:S404)</f>
        <v>0</v>
      </c>
    </row>
    <row r="405" spans="1:22" x14ac:dyDescent="0.35">
      <c r="A405" s="6" t="s">
        <v>36</v>
      </c>
      <c r="B405" s="6"/>
    </row>
    <row r="406" spans="1:22" x14ac:dyDescent="0.35">
      <c r="B406" t="s">
        <v>34</v>
      </c>
      <c r="U406" t="e">
        <f>SUMPRODUCT(D$1:S$1, D406:S406) / SUM(D406:S406)</f>
        <v>#DIV/0!</v>
      </c>
      <c r="V406">
        <f>SUM(D406:S406)</f>
        <v>0</v>
      </c>
    </row>
    <row r="407" spans="1:22" x14ac:dyDescent="0.35">
      <c r="B407" t="s">
        <v>33</v>
      </c>
      <c r="U407" t="e">
        <f>SUMPRODUCT(D$1:S$1, D407:S407) / SUM(D407:S407)</f>
        <v>#DIV/0!</v>
      </c>
      <c r="V407">
        <f>SUM(D407:S407)</f>
        <v>0</v>
      </c>
    </row>
    <row r="408" spans="1:22" x14ac:dyDescent="0.35">
      <c r="B408" t="s">
        <v>32</v>
      </c>
      <c r="U408" t="e">
        <f>SUMPRODUCT(D$1:S$1, D408:S408) / SUM(D408:S408)</f>
        <v>#DIV/0!</v>
      </c>
      <c r="V408">
        <f>SUM(D408:S408)</f>
        <v>0</v>
      </c>
    </row>
    <row r="409" spans="1:22" x14ac:dyDescent="0.35">
      <c r="B409" t="s">
        <v>31</v>
      </c>
      <c r="U409" t="e">
        <f>SUMPRODUCT(D$1:S$1, D409:S409) / SUM(D409:S409)</f>
        <v>#DIV/0!</v>
      </c>
      <c r="V409">
        <f>SUM(D409:S409)</f>
        <v>0</v>
      </c>
    </row>
    <row r="411" spans="1:22" x14ac:dyDescent="0.35">
      <c r="A411" s="6" t="s">
        <v>35</v>
      </c>
      <c r="B411" s="6"/>
    </row>
    <row r="412" spans="1:22" x14ac:dyDescent="0.35">
      <c r="B412" t="s">
        <v>34</v>
      </c>
      <c r="U412" t="e">
        <f>SUMPRODUCT(D$1:S$1, D412:S412) / SUM(D412:S412)</f>
        <v>#DIV/0!</v>
      </c>
      <c r="V412">
        <f>SUM(D412:S412)</f>
        <v>0</v>
      </c>
    </row>
    <row r="413" spans="1:22" x14ac:dyDescent="0.35">
      <c r="B413" t="s">
        <v>33</v>
      </c>
      <c r="U413" t="e">
        <f>SUMPRODUCT(D$1:S$1, D413:S413) / SUM(D413:S413)</f>
        <v>#DIV/0!</v>
      </c>
      <c r="V413">
        <f>SUM(D413:S413)</f>
        <v>0</v>
      </c>
    </row>
    <row r="414" spans="1:22" x14ac:dyDescent="0.35">
      <c r="B414" t="s">
        <v>32</v>
      </c>
      <c r="U414" t="e">
        <f>SUMPRODUCT(D$1:S$1, D414:S414) / SUM(D414:S414)</f>
        <v>#DIV/0!</v>
      </c>
      <c r="V414">
        <f>SUM(D414:S414)</f>
        <v>0</v>
      </c>
    </row>
    <row r="415" spans="1:22" x14ac:dyDescent="0.35">
      <c r="A415" s="3"/>
      <c r="B415" s="3" t="s">
        <v>31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 t="e">
        <f>SUMPRODUCT(D$1:S$1, D415:S415) / SUM(D415:S415)</f>
        <v>#DIV/0!</v>
      </c>
      <c r="V415" s="3">
        <f>SUM(D415:S415)</f>
        <v>0</v>
      </c>
    </row>
    <row r="416" spans="1:22" ht="15" thickBot="1" x14ac:dyDescent="0.4"/>
    <row r="417" spans="1:22" ht="15.5" thickTop="1" thickBot="1" x14ac:dyDescent="0.4">
      <c r="A417" s="8" t="s">
        <v>40</v>
      </c>
      <c r="B417" s="8" t="s">
        <v>39</v>
      </c>
      <c r="C417" s="8" t="s">
        <v>9</v>
      </c>
      <c r="D417" s="8">
        <v>1</v>
      </c>
      <c r="E417" s="8">
        <v>2</v>
      </c>
      <c r="F417" s="8">
        <v>3</v>
      </c>
      <c r="G417" s="8">
        <v>4</v>
      </c>
      <c r="H417" s="8">
        <v>5</v>
      </c>
      <c r="I417" s="8">
        <v>6</v>
      </c>
      <c r="J417" s="8">
        <v>7</v>
      </c>
      <c r="K417" s="8">
        <v>8</v>
      </c>
      <c r="L417" s="8">
        <v>9</v>
      </c>
      <c r="M417" s="8">
        <v>10</v>
      </c>
      <c r="N417" s="8">
        <v>11</v>
      </c>
      <c r="O417" s="8">
        <v>12</v>
      </c>
      <c r="P417" s="8">
        <v>13</v>
      </c>
      <c r="Q417" s="8">
        <v>14</v>
      </c>
      <c r="R417" s="8">
        <v>15</v>
      </c>
      <c r="S417" s="8">
        <v>16</v>
      </c>
      <c r="T417" s="7"/>
      <c r="U417" s="7"/>
      <c r="V417" s="7"/>
    </row>
    <row r="418" spans="1:22" ht="15" thickTop="1" x14ac:dyDescent="0.35">
      <c r="A418" s="6" t="s">
        <v>38</v>
      </c>
      <c r="B418" s="6"/>
    </row>
    <row r="419" spans="1:22" x14ac:dyDescent="0.35">
      <c r="B419" t="s">
        <v>34</v>
      </c>
      <c r="U419" t="e">
        <f>SUMPRODUCT(D$1:S$1, D419:S419) / SUM(D419:S419)</f>
        <v>#DIV/0!</v>
      </c>
      <c r="V419">
        <f>SUM(D419:S419)</f>
        <v>0</v>
      </c>
    </row>
    <row r="420" spans="1:22" x14ac:dyDescent="0.35">
      <c r="B420" t="s">
        <v>33</v>
      </c>
      <c r="U420" t="e">
        <f>SUMPRODUCT(D$1:S$1, D420:S420) / SUM(D420:S420)</f>
        <v>#DIV/0!</v>
      </c>
      <c r="V420">
        <f>SUM(D420:S420)</f>
        <v>0</v>
      </c>
    </row>
    <row r="421" spans="1:22" x14ac:dyDescent="0.35">
      <c r="B421" t="s">
        <v>32</v>
      </c>
      <c r="U421" t="e">
        <f>SUMPRODUCT(D$1:S$1, D421:S421) / SUM(D421:S421)</f>
        <v>#DIV/0!</v>
      </c>
      <c r="V421">
        <f>SUM(D421:S421)</f>
        <v>0</v>
      </c>
    </row>
    <row r="422" spans="1:22" x14ac:dyDescent="0.35">
      <c r="B422" t="s">
        <v>31</v>
      </c>
      <c r="U422" t="e">
        <f>SUMPRODUCT(D$1:S$1, D422:S422) / SUM(D422:S422)</f>
        <v>#DIV/0!</v>
      </c>
      <c r="V422">
        <f>SUM(D422:S422)</f>
        <v>0</v>
      </c>
    </row>
    <row r="424" spans="1:22" x14ac:dyDescent="0.35">
      <c r="A424" s="6" t="s">
        <v>37</v>
      </c>
      <c r="B424" s="6"/>
    </row>
    <row r="425" spans="1:22" x14ac:dyDescent="0.35">
      <c r="B425" t="s">
        <v>34</v>
      </c>
      <c r="U425" t="e">
        <f>SUMPRODUCT(D$1:S$1, D425:S425) / SUM(D425:S425)</f>
        <v>#DIV/0!</v>
      </c>
      <c r="V425">
        <f>SUM(D425:S425)</f>
        <v>0</v>
      </c>
    </row>
    <row r="426" spans="1:22" x14ac:dyDescent="0.35">
      <c r="B426" t="s">
        <v>33</v>
      </c>
      <c r="U426" t="e">
        <f>SUMPRODUCT(D$1:S$1, D426:S426) / SUM(D426:S426)</f>
        <v>#DIV/0!</v>
      </c>
      <c r="V426">
        <f>SUM(D426:S426)</f>
        <v>0</v>
      </c>
    </row>
    <row r="427" spans="1:22" x14ac:dyDescent="0.35">
      <c r="B427" t="s">
        <v>32</v>
      </c>
      <c r="U427" t="e">
        <f>SUMPRODUCT(D$1:S$1, D427:S427) / SUM(D427:S427)</f>
        <v>#DIV/0!</v>
      </c>
      <c r="V427">
        <f>SUM(D427:S427)</f>
        <v>0</v>
      </c>
    </row>
    <row r="428" spans="1:22" x14ac:dyDescent="0.35">
      <c r="A428" s="3"/>
      <c r="B428" s="3" t="s">
        <v>31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 t="e">
        <f>SUMPRODUCT(D$1:S$1, D428:S428) / SUM(D428:S428)</f>
        <v>#DIV/0!</v>
      </c>
      <c r="V428" s="3">
        <f>SUM(D428:S428)</f>
        <v>0</v>
      </c>
    </row>
    <row r="429" spans="1:22" x14ac:dyDescent="0.35">
      <c r="A429" s="6" t="s">
        <v>36</v>
      </c>
      <c r="B429" s="6"/>
    </row>
    <row r="430" spans="1:22" x14ac:dyDescent="0.35">
      <c r="B430" t="s">
        <v>34</v>
      </c>
      <c r="U430" t="e">
        <f>SUMPRODUCT(D$1:S$1, D430:S430) / SUM(D430:S430)</f>
        <v>#DIV/0!</v>
      </c>
      <c r="V430">
        <f>SUM(D430:S430)</f>
        <v>0</v>
      </c>
    </row>
    <row r="431" spans="1:22" x14ac:dyDescent="0.35">
      <c r="B431" t="s">
        <v>33</v>
      </c>
      <c r="U431" t="e">
        <f>SUMPRODUCT(D$1:S$1, D431:S431) / SUM(D431:S431)</f>
        <v>#DIV/0!</v>
      </c>
      <c r="V431">
        <f>SUM(D431:S431)</f>
        <v>0</v>
      </c>
    </row>
    <row r="432" spans="1:22" x14ac:dyDescent="0.35">
      <c r="B432" t="s">
        <v>32</v>
      </c>
      <c r="U432" t="e">
        <f>SUMPRODUCT(D$1:S$1, D432:S432) / SUM(D432:S432)</f>
        <v>#DIV/0!</v>
      </c>
      <c r="V432">
        <f>SUM(D432:S432)</f>
        <v>0</v>
      </c>
    </row>
    <row r="433" spans="1:22" x14ac:dyDescent="0.35">
      <c r="B433" t="s">
        <v>31</v>
      </c>
      <c r="U433" t="e">
        <f>SUMPRODUCT(D$1:S$1, D433:S433) / SUM(D433:S433)</f>
        <v>#DIV/0!</v>
      </c>
      <c r="V433">
        <f>SUM(D433:S433)</f>
        <v>0</v>
      </c>
    </row>
    <row r="435" spans="1:22" x14ac:dyDescent="0.35">
      <c r="A435" s="6" t="s">
        <v>35</v>
      </c>
      <c r="B435" s="6"/>
    </row>
    <row r="436" spans="1:22" x14ac:dyDescent="0.35">
      <c r="B436" t="s">
        <v>34</v>
      </c>
      <c r="U436" t="e">
        <f>SUMPRODUCT(D$1:S$1, D436:S436) / SUM(D436:S436)</f>
        <v>#DIV/0!</v>
      </c>
      <c r="V436">
        <f>SUM(D436:S436)</f>
        <v>0</v>
      </c>
    </row>
    <row r="437" spans="1:22" x14ac:dyDescent="0.35">
      <c r="B437" t="s">
        <v>33</v>
      </c>
      <c r="U437" t="e">
        <f>SUMPRODUCT(D$1:S$1, D437:S437) / SUM(D437:S437)</f>
        <v>#DIV/0!</v>
      </c>
      <c r="V437">
        <f>SUM(D437:S437)</f>
        <v>0</v>
      </c>
    </row>
    <row r="438" spans="1:22" x14ac:dyDescent="0.35">
      <c r="B438" t="s">
        <v>32</v>
      </c>
      <c r="U438" t="e">
        <f>SUMPRODUCT(D$1:S$1, D438:S438) / SUM(D438:S438)</f>
        <v>#DIV/0!</v>
      </c>
      <c r="V438">
        <f>SUM(D438:S438)</f>
        <v>0</v>
      </c>
    </row>
    <row r="439" spans="1:22" x14ac:dyDescent="0.35">
      <c r="A439" s="3"/>
      <c r="B439" s="3" t="s">
        <v>31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 t="e">
        <f>SUMPRODUCT(D$1:S$1, D439:S439) / SUM(D439:S439)</f>
        <v>#DIV/0!</v>
      </c>
      <c r="V439" s="3">
        <f>SUM(D439:S439)</f>
        <v>0</v>
      </c>
    </row>
  </sheetData>
  <conditionalFormatting sqref="V1:V1048576">
    <cfRule type="cellIs" dxfId="1" priority="1" operator="between">
      <formula>1</formula>
      <formula>24</formula>
    </cfRule>
    <cfRule type="cellIs" dxfId="0" priority="2" operator="between">
      <formula>24</formula>
      <formula>240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2025-03-16T17:36:01Z</dcterms:created>
  <dcterms:modified xsi:type="dcterms:W3CDTF">2026-01-16T21:41:17Z</dcterms:modified>
</cp:coreProperties>
</file>